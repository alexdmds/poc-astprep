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Vue par lot" sheetId="2" r:id="rId6"/>
    <sheet state="visible" name="Options" sheetId="3" r:id="rId7"/>
    <sheet state="visible" name="Timeline" sheetId="4" r:id="rId8"/>
    <sheet state="visible" name="Contenu Grégoire" sheetId="5" r:id="rId9"/>
  </sheets>
  <definedNames/>
  <calcPr/>
</workbook>
</file>

<file path=xl/sharedStrings.xml><?xml version="1.0" encoding="utf-8"?>
<sst xmlns="http://schemas.openxmlformats.org/spreadsheetml/2006/main" count="645" uniqueCount="436">
  <si>
    <t>Lot</t>
  </si>
  <si>
    <t>Feature</t>
  </si>
  <si>
    <t>Description</t>
  </si>
  <si>
    <t>Critères d'évaluation</t>
  </si>
  <si>
    <t>Dépendances</t>
  </si>
  <si>
    <t>Durée (j)</t>
  </si>
  <si>
    <t>Deadline</t>
  </si>
  <si>
    <t>Notes</t>
  </si>
  <si>
    <t>LOT 0 — FONDATIONS</t>
  </si>
  <si>
    <t>Lot 0</t>
  </si>
  <si>
    <t>Création tickets backlog Lot 0</t>
  </si>
  <si>
    <t>Découpage du Lot 0 en tickets détaillés avant le début du développement.</t>
  </si>
  <si>
    <t>- Tous les items du lot sont tracés en tickets
- Critères d'acceptance rédigés
- Prêts à être pris en sprint</t>
  </si>
  <si>
    <t>—</t>
  </si>
  <si>
    <t>05/06/2026</t>
  </si>
  <si>
    <t>Règle : 1j en début de chaque lot</t>
  </si>
  <si>
    <t>Setup projet Symfony 7 + Docker Swarm</t>
  </si>
  <si>
    <t>Initialisation du projet Symfony 7 from scratch. Reprise de la stack Docker Swarm du Tage blanc (éprouvée sur charge). Configuration des volumes persistants, réseaux, secrets, déploiement Scaleway.</t>
  </si>
  <si>
    <t>- Projet Symfony 7 fonctionnel en local via docker-compose
- Déploiement Scaleway via Docker Swarm
- Volumes persistants OK
- Healthchecks configurés</t>
  </si>
  <si>
    <t>Reprise stack Tage blanc</t>
  </si>
  <si>
    <t>GitLab Runner + pipelines CI/CD</t>
  </si>
  <si>
    <t>Pipelines build / test / deploy staging + prod. Cache composer et yarn. Déploiement automatique sur push main/staging.</t>
  </si>
  <si>
    <t>- Push main = déploiement prod
- Push staging = déploiement staging
- Cache composer/yarn actif
- Tests lancés automatiquement</t>
  </si>
  <si>
    <t>Setup projet</t>
  </si>
  <si>
    <t>Schema BDD complet + migrations + seeders</t>
  </si>
  <si>
    <t>Design du schéma complet (~30 tables). Migrations Doctrine, index, contraintes FK. Seeders dev pour test.</t>
  </si>
  <si>
    <t>- ~30 tables créées via migrations
- Relations et index en place
- Seeders dev opérationnels
- Doctrine génère le schéma sans erreur</t>
  </si>
  <si>
    <t>Intégration Mux</t>
  </si>
  <si>
    <t>Signed playback tokens, upload direct depuis l'admin, webhooks asset ready. Gestion des IDs (asset_id, playback_id, upload_id).</t>
  </si>
  <si>
    <t>- Upload direct admin fonctionnel
- Signed playback sur le front
- Webhook asset.ready traité</t>
  </si>
  <si>
    <t>Schema BDD</t>
  </si>
  <si>
    <t>Sentry monitoring</t>
  </si>
  <si>
    <t>Installation bundle Sentry, configuration DSN, projet dédié V3, intégration exceptions handlers, traces de performance.</t>
  </si>
  <si>
    <t>- Erreurs remontent dans Sentry
- Projet V3 dédié
- Trace performance sur routes principales</t>
  </si>
  <si>
    <t>Auth complète</t>
  </si>
  <si>
    <t>Inscription + vérification email (VerifyEmailBundle), login/logout, remember me 1 an via CacheRememberMeTokenProvider, reset password, session token unique (anti multi-connexions), firewall Symfony Security, voters.</t>
  </si>
  <si>
    <t>- Inscription + vérif email OK
- Login/logout fonctionnel
- Remember me 1 an actif
- Reset password opérationnel
- Session token unique empêche multi-connexions</t>
  </si>
  <si>
    <t>Modèle de données abonnement + codes promo</t>
  </si>
  <si>
    <t>Entités Doctrine (Subscription, PromoCode, SubscriptionHistory) avec états (active, paused, expired, canceled). Codes promo : type fixed/percentage, conditions de validité, compteur usage, création/gestion admin. Application au checkout Stripe avec traçage.</t>
  </si>
  <si>
    <t>- Entités créées avec transitions d'état
- Codes promo admin CRUD complet
- Application checkout Stripe tracée
- Historique consolidé</t>
  </si>
  <si>
    <t>Repensé vs V1</t>
  </si>
  <si>
    <t>Anti-chevauchement d'abonnements</t>
  </si>
  <si>
    <t>Un seul abo écrit actif à la fois, un seul oral, un seul dossier. Validation à la souscription (checkout Stripe), blocage avec message clair si conflit. Cas edge : renouvellement anticipé, upgrade mid-période.</t>
  </si>
  <si>
    <t>- Validation bloque souscription si conflit
- Message clair user
- Cas renouvellement/upgrade gérés</t>
  </si>
  <si>
    <t>Modèle abo</t>
  </si>
  <si>
    <t>Upgrade / downgrade / pause / reprise</t>
  </si>
  <si>
    <t>Transitions d'état cohérentes, gestion du prorata via Stripe, conservation de l'historique. UX user minimaliste (page paramètres → bouton).</t>
  </si>
  <si>
    <t>- Upgrade/downgrade avec prorata Stripe
- Pause/reprise fonctionnelle
- Historique conservé</t>
  </si>
  <si>
    <t>Anti-chevauchement</t>
  </si>
  <si>
    <t>CRUD users + reset password + alertes admin</t>
  </si>
  <si>
    <t>Liste paginée + recherche, édition profil, reset password avec génération + email, alertes (multi-connexions, discount_counter &gt; 80, export CSV connexions).</t>
  </si>
  <si>
    <t>- Liste paginée fonctionnelle
- Reset password avec email
- Alertes multi-connexions remontées
- Export CSV disponible</t>
  </si>
  <si>
    <t>Auth</t>
  </si>
  <si>
    <t>CRUD simple</t>
  </si>
  <si>
    <t>CRUD catégories + sous-catégories</t>
  </si>
  <si>
    <t>Les 6 sections du TageMage + section Stratégie. Reorder, visibilité, thematic slug. Sous-catégories rattachées.</t>
  </si>
  <si>
    <t>- 6 sections + Stratégie créées
- Reorder fonctionnel
- Slugs uniques</t>
  </si>
  <si>
    <t>CRUD cours avec CKEditor + upload Mux</t>
  </si>
  <si>
    <t>Titre, contenu CKEditor, vidéo Mux via upload direct, difficulté, visibilité publique, rattachement catégorie/sous-catégorie. Reorder par position.</t>
  </si>
  <si>
    <t>- Création cours avec vidéo uploadée sur Mux
- CKEditor fonctionnel
- Reorder par position
- Rattachement catégories</t>
  </si>
  <si>
    <t>Mux + CRUD catégories</t>
  </si>
  <si>
    <t>CRUD exercices + reorder drag&amp;drop</t>
  </si>
  <si>
    <t>Liste filtrée par catégorie, drag&amp;drop de l'ordre, rattachement cours/catégorie, type (tagemage_type ou cours).</t>
  </si>
  <si>
    <t>- Liste filtrée par catégorie
- Drag&amp;drop opérationnel
- Types distincts</t>
  </si>
  <si>
    <t>CRUD catégories</t>
  </si>
  <si>
    <t>CRUD questions d'exercice</t>
  </si>
  <si>
    <t>5 réponses + bonne réponse, titre public, titre interne, correction texte + vidéo Mux liée, flag thème (micro-compétence), flag difficulté.</t>
  </si>
  <si>
    <t>- 5 réponses + bonne réponse OK
- Correction texte + vidéo
- Flag thème et difficulté</t>
  </si>
  <si>
    <t>CRUD exercices + Mux</t>
  </si>
  <si>
    <t>CRUD TageMage + questions</t>
  </si>
  <si>
    <t>TageMage blanc (classique ou mensuel), liste de questions rattachées, type de sous-test, ordre.</t>
  </si>
  <si>
    <t>- TageMage classique et mensuel
- Questions rattachées par type de sous-test
- Ordre défini</t>
  </si>
  <si>
    <t>CRUD questions</t>
  </si>
  <si>
    <t>CRUD parcours + parties + items pondérés</t>
  </si>
  <si>
    <t>Structure hiérarchique (Parcours → Parts → Items), poids horaire sur chaque item, liens vers cours/exos/TageMage/flashcards/calcul/lecture, duplication de parcours. Les 15 profils par tranche de 25 points.</t>
  </si>
  <si>
    <t>- Parcours → parts → items créable
- Poids horaire par item
- Duplication fonctionnelle
- Liens vers tous types d'items</t>
  </si>
  <si>
    <t>CRUD cours+exos+TageMage+flashcards</t>
  </si>
  <si>
    <t>CRUD flashcards + groupes</t>
  </si>
  <si>
    <t>Groupes thématiques, cartes recto/verso, image optionnelle, rattachement sous-catégorie.</t>
  </si>
  <si>
    <t>- Groupes thématiques créables
- Recto/verso + image
- Rattachement sous-catégorie</t>
  </si>
  <si>
    <t>CRUD micro-compétences + drills + test positionnement</t>
  </si>
  <si>
    <t>3 entités liées. Micro-compétences rattachées aux leçons. Drills (5 questions par leçon). Test de positionnement (12-15 questions avec mapping score → niveau).</t>
  </si>
  <si>
    <t>- Micro-compétences rattachées aux leçons
- Drills 5 Q par leçon
- Test positionnement fonctionnel</t>
  </si>
  <si>
    <t>CRUD cours</t>
  </si>
  <si>
    <t>Étude migration</t>
  </si>
  <si>
    <t>Audit du schéma actuel. Livrable : note de décision 'on migre / on ne migre pas / partiellement' par entité (users, cours, exos, questions, erreurs, parcours, abos). Dry run sur échantillon 100 users + 200 exos.</t>
  </si>
  <si>
    <t>- Note de décision livrée
- Dry run testé sur échantillon
- Plan de migration par entité</t>
  </si>
  <si>
    <t>Conditionne le Lot 6</t>
  </si>
  <si>
    <t>Recette fin de Lot 0</t>
  </si>
  <si>
    <t>Tests E2E : inscription/auth, admin fonctionnel sur tous les CRUDs, Grégoire peut saisir 1 cours + 1 exo + 1 TageMage en conditions réelles. Corrections critiques.</t>
  </si>
  <si>
    <t>- Inscription + auth OK
- Tous les CRUDs admin testés
- Saisie contenu réelle validée par Grégoire
- 0 anomalie critique</t>
  </si>
  <si>
    <t>Tous items Lot 0</t>
  </si>
  <si>
    <t>Total lot 0</t>
  </si>
  <si>
    <t>LOT 1 — MONÉTISATION &amp; ENTRÉE</t>
  </si>
  <si>
    <t>Lot 1</t>
  </si>
  <si>
    <t>Création tickets backlog Lot 1</t>
  </si>
  <si>
    <t>Découpage du Lot 1 en tickets détaillés avant le début du développement.</t>
  </si>
  <si>
    <t>- Tous les items du lot sont tracés en tickets
- Critères d'acceptance rédigés</t>
  </si>
  <si>
    <t>Fin Lot 0</t>
  </si>
  <si>
    <t>19/06/2026</t>
  </si>
  <si>
    <t>Onboarding pré-paiement multi-étapes</t>
  </si>
  <si>
    <t>Flux en 4 étapes : email+mdp, prénom+nom, école visée + date passage TM + niveau auto-évalué + heures dispo, récap. Barre de progression, validations, responsive, redirection paywall.</t>
  </si>
  <si>
    <t>- 4 étapes fonctionnelles
- Barre de progression
- Validations email et date
- Responsive
- Redirection paywall en fin</t>
  </si>
  <si>
    <t>Témoignages page de paiement</t>
  </si>
  <si>
    <t>Intégration témoignages sur la page pricing + checkout Stripe, en rotation. Simple affichage.</t>
  </si>
  <si>
    <t>- Témoignages affichés en rotation
- Présents sur pricing ET checkout</t>
  </si>
  <si>
    <t>Onboarding pré-paiement</t>
  </si>
  <si>
    <t>Plans Stripe + checkout + webhooks</t>
  </si>
  <si>
    <t>Page pricing avec 3 plans (Flex 87€, Optimal 219€, Premium). Checkout Stripe, succès et cancel URLs. Webhooks : invoice.payment_succeeded, customer.subscription.deleted, idempotence. Branché sur système abo Lot 0.</t>
  </si>
  <si>
    <t>- 3 plans affichés
- Checkout Stripe fonctionnel
- Webhooks idempotents
- Abonnement activé après paiement</t>
  </si>
  <si>
    <t>Onboarding post-paiement</t>
  </si>
  <si>
    <t>Vidéo bienvenue formateurs, test positionnement (12-15 questions, 3 par domaine, scores affichés, sauvegarde), écran CTA Discord avec lien externe, premier exercice 5 questions selon faiblesses, correction placeholder, redirection dashboard.</t>
  </si>
  <si>
    <t>- Vidéo bienvenue affichée
- Test positionnement 12-15 Q
- Scores par domaine sauvegardés
- CTA Discord
- Premier exo généré</t>
  </si>
  <si>
    <t>Checkout + CRUD test positionnement</t>
  </si>
  <si>
    <t>Freemium avec cadenas conditionnels</t>
  </si>
  <si>
    <t>User non-abonné = 1 cours / 1 exo / 1 TageMage gratuits identifiés en admin. Cadenas visuel sur tous les autres contenus, clic → redirection paywall. Twig helper réutilisable.</t>
  </si>
  <si>
    <t>- 1 cours/1 exo/1 TM gratuits accessibles
- Cadenas sur autres contenus
- Clic cadenas → paywall</t>
  </si>
  <si>
    <t>Checkout</t>
  </si>
  <si>
    <t>Dashboard minimal placeholder</t>
  </si>
  <si>
    <t>Version simplifiée avec blocs disponibles en Lot 1 (placeholders pour parcours/stats qui viendront Lot 3). Liens vers cours/exos/TM/profil/paramètres.</t>
  </si>
  <si>
    <t>- Accessible après onboarding
- Liens navigation principaux
- Remplacé en Lot 3</t>
  </si>
  <si>
    <t>Freemium</t>
  </si>
  <si>
    <t>Remplacé au Lot 3</t>
  </si>
  <si>
    <t>Parrainage</t>
  </si>
  <si>
    <t>Génération code unique par user, dashboard parrainage, reward 10€ via Stripe Customer Balance, promo code -15% Stripe auto-attribué au filleul.</t>
  </si>
  <si>
    <t>- Code unique par user
- Dashboard filleuls validés/en attente
- Reward 10€ à validation
- Promo -15% filleul</t>
  </si>
  <si>
    <t>Reprise logique existante</t>
  </si>
  <si>
    <t>Écoles partenaires</t>
  </si>
  <si>
    <t>Matching automatique par domaine email à la vérification, application du crédit Stripe, notification user.</t>
  </si>
  <si>
    <t>- Matching auto à vérif email
- Crédit Stripe appliqué
- Notification user envoyée</t>
  </si>
  <si>
    <t>Auth + Stripe</t>
  </si>
  <si>
    <t>Intégrations Brevo + Attio</t>
  </si>
  <si>
    <t>Brevo : templates emails transactionnels (bienvenue, vérif, reset, confirmation, rappel) via Symfony Mailer. Attio : commande app:attio:sync pour remonter users + abonnements.</t>
  </si>
  <si>
    <t>- Templates Brevo connectés
- app:attio:sync fonctionnel
- Emails transactionnels envoyés</t>
  </si>
  <si>
    <t>Auth + Checkout</t>
  </si>
  <si>
    <t>Recette fin de Lot 1</t>
  </si>
  <si>
    <t>Tests E2E : visiteur → inscription → paywall → paiement → onboarding → dashboard → payant/freemium. Parrainage bout en bout. Corrections.</t>
  </si>
  <si>
    <t>- Tunnel monétisation E2E OK
- Payant et freemium testés
- Parrainage E2E
- 0 anomalie critique</t>
  </si>
  <si>
    <t>Tous items Lot 1</t>
  </si>
  <si>
    <t>Total lot 1</t>
  </si>
  <si>
    <t>LOT 2 — CŒUR D'APPRENTISSAGE + TAGEMAGE</t>
  </si>
  <si>
    <t>Lot 2</t>
  </si>
  <si>
    <t>Création tickets backlog Lot 2</t>
  </si>
  <si>
    <t>Découpage du Lot 2 en tickets détaillés.</t>
  </si>
  <si>
    <t>- Tous les items tracés en tickets
- Critères d'acceptance rédigés</t>
  </si>
  <si>
    <t>Fin Lot 1</t>
  </si>
  <si>
    <t>03/07/2026</t>
  </si>
  <si>
    <t>Bibliothèque de cours — catalogue</t>
  </si>
  <si>
    <t>Nav horizontale 6 sections TageMage + section Stratégie, accordéon chapitres, leçons dépliables, trait animé au scroll. Icônes + couleurs par section.</t>
  </si>
  <si>
    <t>- 6 sections + Stratégie affichées
- Accordéon fonctionnel
- Trait animé au scroll
- Icônes + couleurs par section</t>
  </si>
  <si>
    <t>Page leçon complète</t>
  </si>
  <si>
    <t>Player Mux large, 4 onglets (Transcript / Notes éditables / Drill / Ask an Expert), panneau latéral sans cacher vidéo, like/dislike, navigation cours suivant/précédent, tracking 'leçon vue'.</t>
  </si>
  <si>
    <t>- Player Mux large format
- 4 onglets fonctionnels
- Notes éditables
- Like/dislike
- Navigation suivant/précédent
- Tracking leçon vue</t>
  </si>
  <si>
    <t>Catalogue cours + Mux</t>
  </si>
  <si>
    <t>Drill</t>
  </si>
  <si>
    <t>5 questions post-vidéo en format simple (5 réponses, correction texte, pas de vidéo). Pas dans les stats. CTA fin de vidéo 'Lance le drill'. Affichage modale ou section dédiée.</t>
  </si>
  <si>
    <t>- 5 Q post-vidéo
- Pas comptabilisé dans stats
- CTA fin de vidéo
- Correction texte immédiate</t>
  </si>
  <si>
    <t>Page leçon + CRUD drills</t>
  </si>
  <si>
    <t>QuizInterface</t>
  </si>
  <si>
    <t>Composant central réutilisé (sous-tests, TageMage blanc, générateur, carnet). Header sticky + chrono + save localStorage (mécanique Tage blanc). Grille pastilles, question + 5 choix, flag, navigation, auto-submit à 0:00, warning questions vides, tracking temps par question.</t>
  </si>
  <si>
    <t>- Chrono décompte, rouge sous 60s
- Save localStorage (ferme/réouvre = état restauré)
- Pastilles couleur selon statut
- Flag toggle
- Auto-submit 0:00
- Tracking temps &gt;1s</t>
  </si>
  <si>
    <t>Schema BDD + CRUD questions</t>
  </si>
  <si>
    <t>Chemin critique</t>
  </si>
  <si>
    <t>Catalogue de sous-tests</t>
  </si>
  <si>
    <t>Nav 6 sections TageMage, toggle Généralistes/Thématiques, cards avec score/60 coloré, moyenne ASTPrep, boutons Lancer / Correction.</t>
  </si>
  <si>
    <t>- 6 sections + toggle G/T
- Score/60 avec couleur
- Moyenne ASTPrep affichée
- Boutons fonctionnels</t>
  </si>
  <si>
    <t>CRUD exercices</t>
  </si>
  <si>
    <t>Cron calcul moyennes ASTPrep</t>
  </si>
  <si>
    <t>Commande app:compute:subtest-averages exécutée chaque nuit. Calcul de la moyenne des premiers passages par sous-test, filtré sur scores &gt; 8/60 pour exclure les passages non sérieux. Stockage pour affichage sur les cards du catalogue.</t>
  </si>
  <si>
    <t>- Cron quotidien fonctionnel
- Filtre scores &gt; 8/60 appliqué
- Premier passage user par sous-test uniquement
- Moyennes affichées sur les cards catalogue sous-tests</t>
  </si>
  <si>
    <t>CRUD exercices + Catalogue sous-tests</t>
  </si>
  <si>
    <t>Mini-fenêtre debrief post-exo</t>
  </si>
  <si>
    <t>Après soumission : score grand format, 3 notions à travailler (thèmes les plus ratés), micro-feedback adaptatif (4 cas), bouton 'Afficher la correction'.</t>
  </si>
  <si>
    <t>- Score /60 ou /600
- 3 notions faibles identifiées
- Feedback adapté au contexte
- Bouton navigue vers correction</t>
  </si>
  <si>
    <t>CorrectionView</t>
  </si>
  <si>
    <t>Bandeau collapsible + pastilles vert/rouge. Par question : explication, vidéo Mux chargée à la demande (coût Mux), catégorisation erreur, flag. Bloc 'Pour progresser' en fin avec liens cours. Bouton entraînement pré-rempli.</t>
  </si>
  <si>
    <t>- Pastilles vert/rouge correct/incorrect
- Vidéo chargée à la demande
- Catégorisation erreur enregistrée
- Bloc 'Pour progresser' avec liens
- Bouton entraînement → générateur pré-rempli</t>
  </si>
  <si>
    <t>QuizInterface + CRUD catégories erreur</t>
  </si>
  <si>
    <t>Carnet d'erreurs V2</t>
  </si>
  <si>
    <t>Layout 2 colonnes. Générateur spécifique carnet (chips compteur erreurs, 5/10/15 Q, chrono). Pie chart + métriques + info répétition espacée J+1/J+7. Liste complète avec suppression. Raisons erreurs affichées.</t>
  </si>
  <si>
    <t>- Chips compteur par sous-test/thème
- Choix 5/10/15 Q
- Option chrono
- Correction immédiate
- Pie chart + infos J+1/J+7
- Suppression individuelle/groupée</t>
  </si>
  <si>
    <t>Générateur d'entraînement</t>
  </si>
  <si>
    <t>Formulaire chips (sous-tests, thèmes, difficulté, durée). Résumé dynamique. Pré-remplissage URL (depuis correction ou stats). CTA disabled si 0 questions. Lance QuizInterface + CorrectionView. Pas de sauvegarde/stats.</t>
  </si>
  <si>
    <t>- Chips dynamiques
- Résumé 'X questions disponibles'
- Pré-remplissage URL fonctionne
- CTA disabled si 0 Q
- Boucle infinie correction → entraînement</t>
  </si>
  <si>
    <t>QuizInterface + CorrectionView</t>
  </si>
  <si>
    <t>LA feature clé V3</t>
  </si>
  <si>
    <t>TageMage blanc — catalogue</t>
  </si>
  <si>
    <t>Grille 4 colonnes affichant les 20 TageMage classiques + 6 mensuels. Cards avec score/600 si passé ou badge 'Nouveau' sinon. Lien vers lancement.</t>
  </si>
  <si>
    <t>- 26 cards en grille
- Score/600 si fait</t>
  </si>
  <si>
    <t>QuizInterface + CRUD TageMage</t>
  </si>
  <si>
    <t>Réutilise QuizInterface</t>
  </si>
  <si>
    <t>TageMage blanc — orchestration examen</t>
  </si>
  <si>
    <t>Couche spécifique TageMage au-dessus de QuizRunner : création Exam + ExamAnswers, flow 6 steps successifs, écrans de pause (configurable env), timestamps par step, API POST JSON step-by-step pour enregistrement live, scoring complexe /600 (pondération aptitude verbale / résolution / logique). QuizRunner utilisé pour chaque step.</t>
  </si>
  <si>
    <t>- 6 steps enchaînés correctement
- Pauses configurables affichées
- Chaque step submit déclenche création d'ExamAnswers
- Scoring /600 correct
-  Enregistrement live même si user crash
- Pas de retour en arrière entre steps</t>
  </si>
  <si>
    <t>TageMage blanc — résultats + partage</t>
  </si>
  <si>
    <t>Post-TM : chargement animé, score hero /600 + percentile, courbe en cloche, détail par sous-test vs moyenne, partage Discord. Entraînement post-TM → générateur avec thèmes faibles.</t>
  </si>
  <si>
    <t>- Chargement animé
- Score hero + percentile
- Courbe en cloche
- 6 barres sous-test vs moyenne
- Bouton partage Discord
- Redirection entraînement avec pré-remplissage</t>
  </si>
  <si>
    <t>TageMage passage + générateur</t>
  </si>
  <si>
    <t>Recette fin de Lot 2</t>
  </si>
  <si>
    <t>Tests E2E boucle complète : cours → drill → sous-test → debrief → correction → carnet → générateur. TageMage complet avec save localStorage testé (fermeture/réouverture). Corrections critiques et majeures.</t>
  </si>
  <si>
    <t>- Boucle complète fonctionnelle
- Save localStorage validé sur fermeture/réouverture
- 0 anomalie critique
- 0 anomalie majeure</t>
  </si>
  <si>
    <t>Tous items Lot 2</t>
  </si>
  <si>
    <t>Lot le plus chargé</t>
  </si>
  <si>
    <t>Total lot 2</t>
  </si>
  <si>
    <t>LOT 3 — INTELLIGENCE &amp; PROGRESSION</t>
  </si>
  <si>
    <t>Lot 3</t>
  </si>
  <si>
    <t>Création tickets backlog Lot 3</t>
  </si>
  <si>
    <t>Découpage du Lot 3 en tickets détaillés.</t>
  </si>
  <si>
    <t>- Tous les items tracés en tickets</t>
  </si>
  <si>
    <t>Fin Lot 2</t>
  </si>
  <si>
    <t>17/07/2026</t>
  </si>
  <si>
    <t>Moteur de calcul du parcours</t>
  </si>
  <si>
    <t>Algo de génération : input = score visé + date examen + heures dispo. Calcul total heures selon tranche 25 pts (15 profils). Répartition items pondérés. Tranches 30min/1h/1,5h/2h/3h. Blocage si incohérence. Pas de 'bloquer date spécifique' (post-v1).</t>
  </si>
  <si>
    <t>- Calcul cohérent score visé / heures
- 15 profils par tranche de 25 pts
- Tranches simplifiées appliquées
- Blocage avec message si incohérent
- Régénération avec spinner</t>
  </si>
  <si>
    <t>CRUD parcours</t>
  </si>
  <si>
    <t>Item le plus complexe</t>
  </si>
  <si>
    <t>Interface parcours adaptatif</t>
  </si>
  <si>
    <t>Bannière coaching (si heures &lt; objectif). Toggle Liste/Calendrier. Barre progression globale. Vue Liste timeline. Vue Calendrier mensuel. Modale Personnaliser (slider + date picker). Points couleur activités. Items cliquables.</t>
  </si>
  <si>
    <t>- Bannière conditionnelle
- Toggle switch les vues
- Timeline et calendrier fonctionnels
- Modale avec slider + date picker
- Points couleur corrects
- Items cliquables</t>
  </si>
  <si>
    <t>Moteur parcours</t>
  </si>
  <si>
    <t>Statistiques V2</t>
  </si>
  <si>
    <t>Filtre temporel (7j/30j/90j/tout). 4 KPIs. Graphique 2 onglets. 7 Personal Best avec badge 'Nouveau'. Détail par thème (barres % + S'entraîner). Historique questions filtrable. Heatmap Strava 4-6 semaines.</t>
  </si>
  <si>
    <t>- Filtre temporel change l'état
- 2 onglets graphique
- 7 PB avec badge récent
- Barres % triées croissant
- 'S'entraîner' → générateur pré-rempli
- Heatmap colorée</t>
  </si>
  <si>
    <t>Générateur + CorrectionView</t>
  </si>
  <si>
    <t>Dashboard bento complet</t>
  </si>
  <si>
    <t>Remplace placeholder Lot 1. Grille bento 4 colonnes. Cards : courbe TM blancs, score estimé + FAQ, temps semaine, programme du jour, cours live, streak + Top X%, erreurs à réviser. Affiche le popup défi du jour (mécanique développée en Lot 5)</t>
  </si>
  <si>
    <t>- Cards visibles sans scroll 1440x900
- Popup défi 1x/jour (localStorage)
- Tooltip score
- Clics navigation
- Graphiques Chart.js fonctionnels
- Intègre les widgets gamification (streak, PB, heatmap) développés au Lot 5"</t>
  </si>
  <si>
    <t>Stats + Parcours</t>
  </si>
  <si>
    <t>Recette fin de Lot 3</t>
  </si>
  <si>
    <t>Tests E2E : onboarding → parcours généré → dashboard peuplé → stats remontent données Lot 2. Cohérence chiffres entre carnet/stats/dashboard. Corrections.</t>
  </si>
  <si>
    <t>- Parcours généré selon inputs
- Dashboard peuplé correctement
- Cohérence chiffres validée
- 0 anomalie critique</t>
  </si>
  <si>
    <t>Tous items Lot 3</t>
  </si>
  <si>
    <t>Total lot 3</t>
  </si>
  <si>
    <t>LOT 4 — OUTILS &amp; COMMUNAUTÉ</t>
  </si>
  <si>
    <t>Lot 4</t>
  </si>
  <si>
    <t>Création tickets backlog Lot 4</t>
  </si>
  <si>
    <t>Découpage du Lot 4 en tickets détaillés.</t>
  </si>
  <si>
    <t>Fin Lot 3</t>
  </si>
  <si>
    <t>24/07/2026</t>
  </si>
  <si>
    <t>Flashcards</t>
  </si>
  <si>
    <t>Configurateur chips (sous-test, thèmes, statut, nombre, chrono). Carte flip 3D. 3 boutons Anki ('Je savais' / 'J'hésitais' / 'Je ne savais pas'). Message prochaine révision 1s. Progression affichée.</t>
  </si>
  <si>
    <t>- Chips sous-test avec icônes
- Thèmes dynamiques
- Carte flip 3D
- 3 boutons évaluation
- Message révision 1s</t>
  </si>
  <si>
    <t>CRUD flashcards</t>
  </si>
  <si>
    <t>Calcul mental</t>
  </si>
  <si>
    <t>Chips config (opération, difficulté, durée). Session chrono. Input auto-focus + re-focus. Flash vert/rouge. Timer pause onglet inactif. Record localStorage. Classement session côté client.</t>
  </si>
  <si>
    <t>- Opérations selon difficulté
- Timer pause onglet inactif
- Input auto-focus + re-focus
- Flash vert/rouge
- Classement filtré côté client
- Record localStorage</t>
  </si>
  <si>
    <t>Lecture alphabétique</t>
  </si>
  <si>
    <t>Chips config (lettres, durée). Session chrono, affichage lettre + input position (1-26). Classement.</t>
  </si>
  <si>
    <t>- Chips config
- Session chrono
- Input position 1-26
- Classement</t>
  </si>
  <si>
    <t>Fiches PDF</t>
  </si>
  <si>
    <t>Catalogue de fiches récap téléchargeables (formules, tables, astuces). Nav 6 sections, cards avec download.</t>
  </si>
  <si>
    <t>- 6 sections navigables
- Cards avec bouton download
- Fiches stockées en admin</t>
  </si>
  <si>
    <t>Cours Live dashboard + sync events Discord</t>
  </si>
  <si>
    <t>Card cours du soir sur dashboard : sujet + lien Discord + calendrier + replays YouTube. Sync events Discord auto via API Discord pour lives planifiés.</t>
  </si>
  <si>
    <t>- Card live avec bonnes infos
- Bouton rejoindre ouvre Discord
- Replays YouTube listés
- Cron sync events Discord</t>
  </si>
  <si>
    <t>Dashboard bento</t>
  </si>
  <si>
    <t>Classement défis</t>
  </si>
  <si>
    <t>Podium 3 meilleurs + tableau top 20. Onglets mensuel/trimestriel. Filtrage par pseudo. Mis à jour via cron quotidien.</t>
  </si>
  <si>
    <t>- Podium 3 meilleurs
- Tableau top 20
- Onglets mensuel/trimestriel
- Cron mise à jour</t>
  </si>
  <si>
    <t>QuizInterface + Stats</t>
  </si>
  <si>
    <t>Recette fin de Lot 4</t>
  </si>
  <si>
    <t>Tests outils (flashcards, calcul, lecture), PDF téléchargeables, cours live, classement. Corrections.</t>
  </si>
  <si>
    <t>- Outils fonctionnels
- PDF téléchargeables
- Cours live remonté
- Classement fonctionnel
- 0 anomalie critique</t>
  </si>
  <si>
    <t>Tous items Lot 4</t>
  </si>
  <si>
    <t>Total lot 4</t>
  </si>
  <si>
    <t>LOT 5 — GAMIFICATION &amp; FINITION</t>
  </si>
  <si>
    <t>Lot 5</t>
  </si>
  <si>
    <t>Création tickets backlog Lot 5</t>
  </si>
  <si>
    <t>Découpage du Lot 5 en tickets détaillés.</t>
  </si>
  <si>
    <t>Fin Lot 4</t>
  </si>
  <si>
    <t>31/07/2026</t>
  </si>
  <si>
    <t>Gamification complète</t>
  </si>
  <si>
    <t>Développement de la mécanique gamification (les widgets eux-mêmes sont déjà affichés au Dashboard Lot 3 et Stats Lot 3, ici on ajoute les animations et triggers) : calcul streak + Top X%, détection 7 Personal Best + badge 'Nouveau' si récent, animation PB conditionnelle (compteur 1.5s + confettis 2s), popup défi du jour 1x/jour, ~20 mini pop-ups contextuels, célébrations post-session, logique bannière coaching progressive, heatmap (coloration selon activité).</t>
  </si>
  <si>
    <t>- Streak Top X%
- 7 PB avec badge Nouveau
- Animation PB conditionnelle
- Popup défi 1x/jour
- Pop-ups contextuels
- Heatmap colorée
- Partage Discord présent</t>
  </si>
  <si>
    <t>Stats + Dashboard + TM</t>
  </si>
  <si>
    <t>Widgets affichés en Lot 3 (dashboard + stats). Lot 5 = mécanique + animations. Partage Discord TM déjà dans Lot 2</t>
  </si>
  <si>
    <t>Notifications user</t>
  </si>
  <si>
    <t>Page liste complète + dropdown dashboard. 5 types (classique, module, rappel, achievement, urgent). Marquage lu/non lu.</t>
  </si>
  <si>
    <t>- Page liste fonctionnelle
- Dropdown dashboard
- 5 types
- Marquage lu/non lu persisté</t>
  </si>
  <si>
    <t>Paramètres user + FAQ score</t>
  </si>
  <si>
    <t>Page paramètres : profil, dark mode toggle (optionnel), toggles notifications, tiers temps, facturation Stripe (redirect portal). FAQ explication calcul score.</t>
  </si>
  <si>
    <t>- Profil éditable
- Toggles notifications
- Redirection portal Stripe
- FAQ score texte clair</t>
  </si>
  <si>
    <t>Recette fin de Lot 5</t>
  </si>
  <si>
    <t>Audit visuel global, tests de la gamification, notifications, paramètres. Corrections.</t>
  </si>
  <si>
    <t>- Gamification testée bout en bout
- Notifications fonctionnelles
- Paramètres OK
- 0 anomalie critique</t>
  </si>
  <si>
    <t>Tous items Lot 5</t>
  </si>
  <si>
    <t>Total lot 5</t>
  </si>
  <si>
    <t>LOT 6 — MIGRATION &amp; GO-LIVE</t>
  </si>
  <si>
    <t>Lot 6</t>
  </si>
  <si>
    <t>Création tickets backlog Lot 6</t>
  </si>
  <si>
    <t>Découpage du Lot 6 en tickets détaillés.</t>
  </si>
  <si>
    <t>Fin Lot 5</t>
  </si>
  <si>
    <t>07/08/2026</t>
  </si>
  <si>
    <t>Script migration cours + exercices + questions</t>
  </si>
  <si>
    <t>Basé sur étude migration Lot 0. Script SQL ou commande Symfony. Migration catégories, sous-catégories, cours, vidéos Mux, exercices, questions, drills si compatibles. Dry run staging puis prod.</t>
  </si>
  <si>
    <t>- Script migration fonctionnel
- Dry run staging sans erreur
- Migration prod réussie
- Vérifications post-migration OK</t>
  </si>
  <si>
    <t>Étude migration Lot 0</t>
  </si>
  <si>
    <t>Conditionne contenu V3</t>
  </si>
  <si>
    <t>Migration users</t>
  </si>
  <si>
    <t>Selon décision fin Lot 5. Si migration : users (2400), abonnements Stripe avec ré-association nouveau modèle, historiques scores, carnet erreurs, liaisons Discord, parcours en cours.</t>
  </si>
  <si>
    <t>- Users migrés avec abos
- Historiques scores préservés
- Carnet erreurs migré
- Liaisons Discord conservées</t>
  </si>
  <si>
    <t>Script migration cours + Modèle abo</t>
  </si>
  <si>
    <t>Décision fin Lot 5</t>
  </si>
  <si>
    <t>Sync intégrations + crons</t>
  </si>
  <si>
    <t>Attio, Brevo, Sentry projet V3, Cronitor, LogRocket. Commandes cron : app:subscription:daily, app:checking:discord, app:attio:sync, app:check-pending-discord-channels.</t>
  </si>
  <si>
    <t>- Tous flux intégrations testés
- 4 crons actifs
- Monitoring Cronitor OK</t>
  </si>
  <si>
    <t>Tous Lots</t>
  </si>
  <si>
    <t>Recette finale + soft launch + go-live</t>
  </si>
  <si>
    <t>Tests E2E bout en bout sur parcours complet (inscription → onboarding → dashboard → cours → exo → correction → TageMage → stats → parcours). 0 anomalie critique/majeure. Soft launch cohorte 50-100 users. Corrections. Go-live.</t>
  </si>
  <si>
    <t>- Parcours complet fonctionnel
- 0 anomalie critique
- 0 anomalie majeure
- Performance &lt;3s chargement
- Soft launch validé
- Go-live</t>
  </si>
  <si>
    <t>Total lot 6</t>
  </si>
  <si>
    <t>SOUS-TOTAL</t>
  </si>
  <si>
    <t>BUFFER 10%</t>
  </si>
  <si>
    <t>TOTAL V1 AVEC BUFFER</t>
  </si>
  <si>
    <t>Nom</t>
  </si>
  <si>
    <t>Nb items</t>
  </si>
  <si>
    <t>Durée (sem)</t>
  </si>
  <si>
    <t>Fin prévue</t>
  </si>
  <si>
    <t>Features critiques</t>
  </si>
  <si>
    <t>Condition de sortie</t>
  </si>
  <si>
    <t>Fondations</t>
  </si>
  <si>
    <t>Setup + BDD + Auth + Abonnements + Admin complet</t>
  </si>
  <si>
    <t>Grégoire peut saisir du contenu, user test peut s'inscrire</t>
  </si>
  <si>
    <t>Monétisation &amp; entrée</t>
  </si>
  <si>
    <t>Onboarding + Stripe + Freemium + Parrainage + Écoles + Discord sync</t>
  </si>
  <si>
    <t>Tunnel visiteur → payant → onboardé E2E</t>
  </si>
  <si>
    <t>Cœur + TageMage</t>
  </si>
  <si>
    <t>QuizInterface + CorrectionView + Carnet + Générateur + TageMage blanc</t>
  </si>
  <si>
    <t>Boucle cours→drill→exo→correction→entraînement ciblé</t>
  </si>
  <si>
    <t>Intelligence &amp; progression</t>
  </si>
  <si>
    <t>Parcours adaptatif + Stats V2 + Dashboard bento</t>
  </si>
  <si>
    <t>Marie voit sa prochaine action et sa progression</t>
  </si>
  <si>
    <t>Outils &amp; communauté</t>
  </si>
  <si>
    <t>Flashcards + Calcul mental + Lecture alpha + PDF + Discord</t>
  </si>
  <si>
    <t>Outils périphériques + interaction communautaire</t>
  </si>
  <si>
    <t>Gamification &amp; finition</t>
  </si>
  <si>
    <t>Célébrations + Notifications + Paramètres + FAQ</t>
  </si>
  <si>
    <t>Effet WOW + récap expérience utilisateur</t>
  </si>
  <si>
    <t>Migration &amp; go-live</t>
  </si>
  <si>
    <t>Scripts migration + Sync intégrations + Recette finale</t>
  </si>
  <si>
    <t>0 anomalie critique/majeure, go-live</t>
  </si>
  <si>
    <t>TOTAL</t>
  </si>
  <si>
    <t>Option</t>
  </si>
  <si>
    <t>Condition d'activation</t>
  </si>
  <si>
    <t>Décision à prendre</t>
  </si>
  <si>
    <t>Option A</t>
  </si>
  <si>
    <t>API mobile</t>
  </si>
  <si>
    <t>Endpoints auth (Bearer), /api/flashcards, /api/calcul-mental, /api/lecture-alphabetique, /api/courses avec Mux signé, /api/completions sauvegarde vue de cours. Documentation OpenAPI + environnement test dev mobile. Scope : cours + flashcards + calcul + lecture (pas exos/sous-tests/TM).</t>
  </si>
  <si>
    <t>Choix de faire l'app native (dev séparé)</t>
  </si>
  <si>
    <t>Fin Lot 4 / début Lot 5</t>
  </si>
  <si>
    <t>App Mobile</t>
  </si>
  <si>
    <t>App mobile basique pour les mini jeux, la consultation des cours</t>
  </si>
  <si>
    <t>5~10</t>
  </si>
  <si>
    <t>Option B</t>
  </si>
  <si>
    <t>PWA complète</t>
  </si>
  <si>
    <t>Manifest + service worker avancé. Cache management (cours cache-first, sous-tests network-first, carnet background-sync). Mode offline consultation. Splash screen. Installable iOS Safari + Android Chrome. Lighthouse PWA &gt; 90.</t>
  </si>
  <si>
    <t>Choix de la PWA comme solution mobile</t>
  </si>
  <si>
    <t>⚠️ Options exclusives : on active l'une OU l'autre, pas les deux.</t>
  </si>
  <si>
    <t>Semaine</t>
  </si>
  <si>
    <t>Dates</t>
  </si>
  <si>
    <t>Lot en cours</t>
  </si>
  <si>
    <t>Jalons / Livrables</t>
  </si>
  <si>
    <t>S1</t>
  </si>
  <si>
    <t>11/05 → 15/05</t>
  </si>
  <si>
    <t>Lot 0 — Fondations</t>
  </si>
  <si>
    <t>S2</t>
  </si>
  <si>
    <t>18/05 → 22/05</t>
  </si>
  <si>
    <t>S3</t>
  </si>
  <si>
    <t>25/05 → 29/05</t>
  </si>
  <si>
    <t>S4</t>
  </si>
  <si>
    <t>01/06 → 05/06</t>
  </si>
  <si>
    <t>✓ Fin Lot 0 — Recette + livraison</t>
  </si>
  <si>
    <t>S5</t>
  </si>
  <si>
    <t>08/06 → 12/06</t>
  </si>
  <si>
    <t>Lot 1 — Monétisation</t>
  </si>
  <si>
    <t>✓ Fin Lot 1 — Recette + livraison</t>
  </si>
  <si>
    <t>S6</t>
  </si>
  <si>
    <t>15/06 → 19/06</t>
  </si>
  <si>
    <t>Lot 2 — Cœur + TM</t>
  </si>
  <si>
    <t>S7</t>
  </si>
  <si>
    <t>22/06 → 26/06</t>
  </si>
  <si>
    <t>S8</t>
  </si>
  <si>
    <t>29/06 → 03/07</t>
  </si>
  <si>
    <t>✓ Fin Lot 2 — Recette + livraison</t>
  </si>
  <si>
    <t>S9</t>
  </si>
  <si>
    <t>06/07 → 10/07</t>
  </si>
  <si>
    <t>Lot 3 — Intelligence</t>
  </si>
  <si>
    <t>✓ Fin Lot 3 — Recette + livraison</t>
  </si>
  <si>
    <t>S10</t>
  </si>
  <si>
    <t>13/07 → 17/07</t>
  </si>
  <si>
    <t>Lot 4 — Outils</t>
  </si>
  <si>
    <t>S11</t>
  </si>
  <si>
    <t>20/07 → 24/07</t>
  </si>
  <si>
    <t>✓ Fin Lot 4 — Recette + livraison</t>
  </si>
  <si>
    <t>S12</t>
  </si>
  <si>
    <t>27/07 → 31/07</t>
  </si>
  <si>
    <t>Lot 6 — Migration</t>
  </si>
  <si>
    <t>S13</t>
  </si>
  <si>
    <t>03/08 → 07/08</t>
  </si>
  <si>
    <t>✓ Fin Lot 6 — Recette + livraison</t>
  </si>
  <si>
    <t>S14</t>
  </si>
  <si>
    <t>10/08 → 14/08</t>
  </si>
  <si>
    <t>Buffer / marge</t>
  </si>
  <si>
    <t>Tampon global 10%</t>
  </si>
  <si>
    <t>Livrable</t>
  </si>
  <si>
    <t>Quantité</t>
  </si>
  <si>
    <t>Lot utilisateur</t>
  </si>
  <si>
    <t>Micro-compétences + capsules vidéo</t>
  </si>
  <si>
    <t>Découpage du TageMage en 100 micro-compétences. Enregistrement des capsules vidéo courtes.</t>
  </si>
  <si>
    <t>~100</t>
  </si>
  <si>
    <t>Saisie admin dispo fin Lot 0</t>
  </si>
  <si>
    <t>Test de positionnement</t>
  </si>
  <si>
    <t>12-15 questions mappées aux micro-compétences. Scoring par domaine.</t>
  </si>
  <si>
    <t>12-15 Q</t>
  </si>
  <si>
    <t>Drills par leçon</t>
  </si>
  <si>
    <t>5 questions simples post-vidéo par leçon pour valider la compréhension immédiate.</t>
  </si>
  <si>
    <t>~500 Q (100 leçons × 5)</t>
  </si>
  <si>
    <t>Pas de correction vidéo nécessaire</t>
  </si>
  <si>
    <t>15 profils de parcours</t>
  </si>
  <si>
    <t>Découpage des items pondérés en heures par tranche de 25 points de score. Total d'heures à faire par profil.</t>
  </si>
  <si>
    <t>15 profils</t>
  </si>
  <si>
    <t>Dépend des items créés au Lot 2</t>
  </si>
  <si>
    <t>Catégorisations d'erreur</t>
  </si>
  <si>
    <t>Liste des raisons d'erreur à proposer à l'élève (manque de temps, mauvaise lecture, etc.).</t>
  </si>
  <si>
    <t>~8-10 catégories</t>
  </si>
  <si>
    <t>Moyennes ASTPrep par sous-test</t>
  </si>
  <si>
    <t>Calcul des moyennes historiques par sous-test pour affichage sur les cards catalogue.</t>
  </si>
  <si>
    <t>6 moyennes</t>
  </si>
  <si>
    <t>Données extraites de la prod actuelle</t>
  </si>
  <si>
    <t>Corrections vidéo questions</t>
  </si>
  <si>
    <t>Vidéos de correction par question d'exercice (existant + nouveau contenu).</t>
  </si>
  <si>
    <t>Variable</t>
  </si>
  <si>
    <t>Chargement à la demande pour coût Mux</t>
  </si>
  <si>
    <t>Fiches PDF récap</t>
  </si>
  <si>
    <t>Fiches téléchargeables (formules, tables, astuces CM, etc.).</t>
  </si>
  <si>
    <t>~20-30 fiches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</si>
</sst>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2.0"/>
      <color rgb="FFFFFFFF"/>
      <name val="Arial"/>
    </font>
    <font/>
    <font>
      <sz val="10.0"/>
      <color theme="1"/>
      <name val="Arial"/>
    </font>
    <font>
      <sz val="15.0"/>
      <color rgb="FFFFFFFF"/>
      <name val="Arial"/>
    </font>
    <font>
      <sz val="11.0"/>
      <color theme="1"/>
      <name val="Calibri"/>
    </font>
    <font>
      <b/>
      <sz val="11.0"/>
      <color theme="1"/>
      <name val="Arial"/>
    </font>
    <font>
      <b/>
      <i/>
      <sz val="11.0"/>
      <color rgb="FFC00000"/>
      <name val="Arial"/>
    </font>
    <font>
      <b/>
      <sz val="10.0"/>
      <color rgb="FFFFFFFF"/>
      <name val="Arial"/>
    </font>
    <font>
      <b/>
      <sz val="10.0"/>
      <color rgb="FFC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3" fontId="5" numFmtId="0" xfId="0" applyAlignment="1" applyFont="1">
      <alignment horizontal="left" readingOrder="0" shrinkToFit="0" vertical="top" wrapText="1"/>
    </xf>
    <xf borderId="0" fillId="3" fontId="5" numFmtId="0" xfId="0" applyAlignment="1" applyFont="1">
      <alignment horizontal="left" shrinkToFit="0" vertical="top" wrapText="1"/>
    </xf>
    <xf borderId="2" fillId="4" fontId="2" numFmtId="0" xfId="0" applyAlignment="1" applyBorder="1" applyFill="1" applyFont="1">
      <alignment horizontal="center" shrinkToFit="0" vertical="center" wrapText="0"/>
    </xf>
    <xf borderId="0" fillId="2" fontId="5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left" shrinkToFit="0" vertical="top" wrapText="1"/>
    </xf>
    <xf borderId="0" fillId="0" fontId="6" numFmtId="0" xfId="0" applyAlignment="1" applyFont="1">
      <alignment vertical="bottom"/>
    </xf>
    <xf borderId="2" fillId="5" fontId="2" numFmtId="0" xfId="0" applyAlignment="1" applyBorder="1" applyFill="1" applyFont="1">
      <alignment horizontal="center" shrinkToFit="0" vertical="center" wrapText="0"/>
    </xf>
    <xf borderId="0" fillId="5" fontId="5" numFmtId="0" xfId="0" applyAlignment="1" applyFont="1">
      <alignment horizontal="left" readingOrder="0" shrinkToFit="0" vertical="top" wrapText="1"/>
    </xf>
    <xf borderId="0" fillId="5" fontId="5" numFmtId="0" xfId="0" applyAlignment="1" applyFont="1">
      <alignment horizontal="left" shrinkToFit="0" vertical="top" wrapText="1"/>
    </xf>
    <xf borderId="2" fillId="6" fontId="2" numFmtId="0" xfId="0" applyAlignment="1" applyBorder="1" applyFill="1" applyFont="1">
      <alignment horizontal="center" shrinkToFit="0" vertical="center" wrapText="0"/>
    </xf>
    <xf borderId="0" fillId="6" fontId="5" numFmtId="0" xfId="0" applyAlignment="1" applyFont="1">
      <alignment horizontal="left" readingOrder="0" shrinkToFit="0" vertical="top" wrapText="1"/>
    </xf>
    <xf borderId="0" fillId="6" fontId="5" numFmtId="0" xfId="0" applyAlignment="1" applyFont="1">
      <alignment horizontal="left" shrinkToFit="0" vertical="top" wrapText="1"/>
    </xf>
    <xf borderId="2" fillId="7" fontId="2" numFmtId="0" xfId="0" applyAlignment="1" applyBorder="1" applyFill="1" applyFont="1">
      <alignment horizontal="center" shrinkToFit="0" vertical="center" wrapText="0"/>
    </xf>
    <xf borderId="0" fillId="7" fontId="5" numFmtId="0" xfId="0" applyAlignment="1" applyFont="1">
      <alignment horizontal="left" readingOrder="0" shrinkToFit="0" vertical="top" wrapText="1"/>
    </xf>
    <xf borderId="0" fillId="7" fontId="5" numFmtId="0" xfId="0" applyAlignment="1" applyFont="1">
      <alignment horizontal="left" shrinkToFit="0" vertical="top" wrapText="1"/>
    </xf>
    <xf borderId="2" fillId="8" fontId="2" numFmtId="0" xfId="0" applyAlignment="1" applyBorder="1" applyFill="1" applyFont="1">
      <alignment horizontal="center" shrinkToFit="0" vertical="center" wrapText="0"/>
    </xf>
    <xf borderId="0" fillId="8" fontId="5" numFmtId="0" xfId="0" applyAlignment="1" applyFont="1">
      <alignment horizontal="left" readingOrder="0" shrinkToFit="0" vertical="top" wrapText="1"/>
    </xf>
    <xf borderId="0" fillId="8" fontId="5" numFmtId="0" xfId="0" applyAlignment="1" applyFont="1">
      <alignment horizontal="left" shrinkToFit="0" vertical="top" wrapText="1"/>
    </xf>
    <xf borderId="2" fillId="9" fontId="2" numFmtId="0" xfId="0" applyAlignment="1" applyBorder="1" applyFill="1" applyFont="1">
      <alignment horizontal="center" shrinkToFit="0" vertical="center" wrapText="0"/>
    </xf>
    <xf borderId="0" fillId="9" fontId="5" numFmtId="0" xfId="0" applyAlignment="1" applyFont="1">
      <alignment horizontal="left" readingOrder="0" shrinkToFit="0" vertical="top" wrapText="1"/>
    </xf>
    <xf borderId="0" fillId="9" fontId="5" numFmtId="0" xfId="0" applyAlignment="1" applyFont="1">
      <alignment horizontal="left" shrinkToFit="0" vertical="top" wrapText="1"/>
    </xf>
    <xf borderId="5" fillId="10" fontId="7" numFmtId="0" xfId="0" applyAlignment="1" applyBorder="1" applyFill="1" applyFont="1">
      <alignment horizontal="right" shrinkToFit="0" vertical="bottom" wrapText="0"/>
    </xf>
    <xf borderId="6" fillId="0" fontId="3" numFmtId="0" xfId="0" applyBorder="1" applyFont="1"/>
    <xf borderId="7" fillId="0" fontId="3" numFmtId="0" xfId="0" applyBorder="1" applyFont="1"/>
    <xf borderId="1" fillId="10" fontId="7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shrinkToFit="0" vertical="bottom" wrapText="0"/>
    </xf>
    <xf borderId="5" fillId="11" fontId="7" numFmtId="0" xfId="0" applyAlignment="1" applyBorder="1" applyFill="1" applyFont="1">
      <alignment horizontal="right" shrinkToFit="0" vertical="bottom" wrapText="0"/>
    </xf>
    <xf borderId="1" fillId="11" fontId="7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horizontal="right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center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1" fillId="8" fontId="1" numFmtId="0" xfId="0" applyAlignment="1" applyBorder="1" applyFont="1">
      <alignment horizontal="center" shrinkToFit="0" vertical="center" wrapText="0"/>
    </xf>
    <xf borderId="1" fillId="9" fontId="1" numFmtId="0" xfId="0" applyAlignment="1" applyBorder="1" applyFont="1">
      <alignment horizontal="center" shrinkToFit="0" vertical="center" wrapText="0"/>
    </xf>
    <xf borderId="1" fillId="12" fontId="4" numFmtId="0" xfId="0" applyAlignment="1" applyBorder="1" applyFill="1" applyFont="1">
      <alignment shrinkToFit="0" vertical="top" wrapText="1"/>
    </xf>
    <xf borderId="2" fillId="13" fontId="8" numFmtId="0" xfId="0" applyAlignment="1" applyBorder="1" applyFill="1" applyFont="1">
      <alignment horizontal="center" shrinkToFit="0" vertical="center" wrapText="0"/>
    </xf>
    <xf borderId="1" fillId="3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1" fillId="4" fontId="9" numFmtId="0" xfId="0" applyAlignment="1" applyBorder="1" applyFont="1">
      <alignment shrinkToFit="0" vertical="top" wrapText="1"/>
    </xf>
    <xf borderId="1" fillId="5" fontId="9" numFmtId="0" xfId="0" applyAlignment="1" applyBorder="1" applyFont="1">
      <alignment shrinkToFit="0" vertical="top" wrapText="1"/>
    </xf>
    <xf borderId="1" fillId="6" fontId="9" numFmtId="0" xfId="0" applyAlignment="1" applyBorder="1" applyFont="1">
      <alignment shrinkToFit="0" vertical="top" wrapText="1"/>
    </xf>
    <xf borderId="1" fillId="7" fontId="9" numFmtId="0" xfId="0" applyAlignment="1" applyBorder="1" applyFont="1">
      <alignment shrinkToFit="0" vertical="top" wrapText="1"/>
    </xf>
    <xf borderId="1" fillId="9" fontId="9" numFmtId="0" xfId="0" applyAlignment="1" applyBorder="1" applyFont="1">
      <alignment shrinkToFit="0" vertical="top" wrapText="1"/>
    </xf>
    <xf borderId="1" fillId="11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35.0"/>
    <col customWidth="1" min="3" max="3" width="67.86"/>
    <col customWidth="1" min="4" max="4" width="46.29"/>
    <col customWidth="1" min="5" max="5" width="25.0"/>
    <col customWidth="1" min="6" max="6" width="10.0"/>
    <col customWidth="1" min="7" max="7" width="13.0"/>
    <col customWidth="1" min="8" max="8" width="30.0"/>
    <col customWidth="1" min="9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/>
      <c r="C2" s="3"/>
      <c r="D2" s="3"/>
      <c r="E2" s="3"/>
      <c r="F2" s="3"/>
      <c r="G2" s="3"/>
      <c r="H2" s="4"/>
    </row>
    <row r="3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1.0</v>
      </c>
      <c r="G3" s="5" t="s">
        <v>14</v>
      </c>
      <c r="H3" s="5" t="s">
        <v>15</v>
      </c>
    </row>
    <row r="4">
      <c r="A4" s="5" t="s">
        <v>9</v>
      </c>
      <c r="B4" s="5" t="s">
        <v>16</v>
      </c>
      <c r="C4" s="5" t="s">
        <v>17</v>
      </c>
      <c r="D4" s="5" t="s">
        <v>18</v>
      </c>
      <c r="E4" s="5" t="s">
        <v>13</v>
      </c>
      <c r="F4" s="6">
        <v>2.0</v>
      </c>
      <c r="G4" s="5" t="s">
        <v>14</v>
      </c>
      <c r="H4" s="5" t="s">
        <v>19</v>
      </c>
    </row>
    <row r="5">
      <c r="A5" s="5" t="s">
        <v>9</v>
      </c>
      <c r="B5" s="5" t="s">
        <v>20</v>
      </c>
      <c r="C5" s="5" t="s">
        <v>21</v>
      </c>
      <c r="D5" s="5" t="s">
        <v>22</v>
      </c>
      <c r="E5" s="5" t="s">
        <v>23</v>
      </c>
      <c r="F5" s="6">
        <v>2.0</v>
      </c>
      <c r="G5" s="5" t="s">
        <v>14</v>
      </c>
      <c r="H5" s="5"/>
    </row>
    <row r="6">
      <c r="A6" s="5" t="s">
        <v>9</v>
      </c>
      <c r="B6" s="5" t="s">
        <v>24</v>
      </c>
      <c r="C6" s="5" t="s">
        <v>25</v>
      </c>
      <c r="D6" s="5" t="s">
        <v>26</v>
      </c>
      <c r="E6" s="5" t="s">
        <v>23</v>
      </c>
      <c r="F6" s="6">
        <v>1.5</v>
      </c>
      <c r="G6" s="5" t="s">
        <v>14</v>
      </c>
      <c r="H6" s="5"/>
    </row>
    <row r="7">
      <c r="A7" s="5" t="s">
        <v>9</v>
      </c>
      <c r="B7" s="5" t="s">
        <v>27</v>
      </c>
      <c r="C7" s="5" t="s">
        <v>28</v>
      </c>
      <c r="D7" s="5" t="s">
        <v>29</v>
      </c>
      <c r="E7" s="5" t="s">
        <v>30</v>
      </c>
      <c r="F7" s="5">
        <v>0.5</v>
      </c>
      <c r="G7" s="5" t="s">
        <v>14</v>
      </c>
      <c r="H7" s="5"/>
    </row>
    <row r="8">
      <c r="A8" s="5" t="s">
        <v>9</v>
      </c>
      <c r="B8" s="5" t="s">
        <v>31</v>
      </c>
      <c r="C8" s="5" t="s">
        <v>32</v>
      </c>
      <c r="D8" s="5" t="s">
        <v>33</v>
      </c>
      <c r="E8" s="5" t="s">
        <v>23</v>
      </c>
      <c r="F8" s="6">
        <v>0.5</v>
      </c>
      <c r="G8" s="5" t="s">
        <v>14</v>
      </c>
      <c r="H8" s="5"/>
    </row>
    <row r="9">
      <c r="A9" s="5" t="s">
        <v>9</v>
      </c>
      <c r="B9" s="5" t="s">
        <v>34</v>
      </c>
      <c r="C9" s="5" t="s">
        <v>35</v>
      </c>
      <c r="D9" s="5" t="s">
        <v>36</v>
      </c>
      <c r="E9" s="5" t="s">
        <v>30</v>
      </c>
      <c r="F9" s="5">
        <v>2.0</v>
      </c>
      <c r="G9" s="5" t="s">
        <v>14</v>
      </c>
      <c r="H9" s="5"/>
    </row>
    <row r="10">
      <c r="A10" s="5" t="s">
        <v>9</v>
      </c>
      <c r="B10" s="5" t="s">
        <v>37</v>
      </c>
      <c r="C10" s="5" t="s">
        <v>38</v>
      </c>
      <c r="D10" s="5" t="s">
        <v>39</v>
      </c>
      <c r="E10" s="5" t="s">
        <v>30</v>
      </c>
      <c r="F10" s="6">
        <v>2.0</v>
      </c>
      <c r="G10" s="5" t="s">
        <v>14</v>
      </c>
      <c r="H10" s="5" t="s">
        <v>40</v>
      </c>
    </row>
    <row r="11">
      <c r="A11" s="5" t="s">
        <v>9</v>
      </c>
      <c r="B11" s="5" t="s">
        <v>41</v>
      </c>
      <c r="C11" s="5" t="s">
        <v>42</v>
      </c>
      <c r="D11" s="5" t="s">
        <v>43</v>
      </c>
      <c r="E11" s="5" t="s">
        <v>44</v>
      </c>
      <c r="F11" s="5">
        <v>1.0</v>
      </c>
      <c r="G11" s="5" t="s">
        <v>14</v>
      </c>
      <c r="H11" s="5"/>
    </row>
    <row r="12">
      <c r="A12" s="5" t="s">
        <v>9</v>
      </c>
      <c r="B12" s="5" t="s">
        <v>45</v>
      </c>
      <c r="C12" s="5" t="s">
        <v>46</v>
      </c>
      <c r="D12" s="5" t="s">
        <v>47</v>
      </c>
      <c r="E12" s="5" t="s">
        <v>48</v>
      </c>
      <c r="F12" s="5">
        <v>0.5</v>
      </c>
      <c r="G12" s="5" t="s">
        <v>14</v>
      </c>
      <c r="H12" s="5"/>
    </row>
    <row r="13">
      <c r="A13" s="5" t="s">
        <v>9</v>
      </c>
      <c r="B13" s="5" t="s">
        <v>49</v>
      </c>
      <c r="C13" s="5" t="s">
        <v>50</v>
      </c>
      <c r="D13" s="5" t="s">
        <v>51</v>
      </c>
      <c r="E13" s="5" t="s">
        <v>52</v>
      </c>
      <c r="F13" s="5">
        <v>0.25</v>
      </c>
      <c r="G13" s="5" t="s">
        <v>14</v>
      </c>
      <c r="H13" s="5" t="s">
        <v>53</v>
      </c>
    </row>
    <row r="14">
      <c r="A14" s="5" t="s">
        <v>9</v>
      </c>
      <c r="B14" s="5" t="s">
        <v>54</v>
      </c>
      <c r="C14" s="5" t="s">
        <v>55</v>
      </c>
      <c r="D14" s="5" t="s">
        <v>56</v>
      </c>
      <c r="E14" s="5" t="s">
        <v>30</v>
      </c>
      <c r="F14" s="5">
        <v>0.25</v>
      </c>
      <c r="G14" s="5" t="s">
        <v>14</v>
      </c>
      <c r="H14" s="5" t="s">
        <v>53</v>
      </c>
    </row>
    <row r="15">
      <c r="A15" s="5" t="s">
        <v>9</v>
      </c>
      <c r="B15" s="5" t="s">
        <v>57</v>
      </c>
      <c r="C15" s="5" t="s">
        <v>58</v>
      </c>
      <c r="D15" s="5" t="s">
        <v>59</v>
      </c>
      <c r="E15" s="5" t="s">
        <v>60</v>
      </c>
      <c r="F15" s="6">
        <v>0.5</v>
      </c>
      <c r="G15" s="5" t="s">
        <v>14</v>
      </c>
      <c r="H15" s="5" t="s">
        <v>53</v>
      </c>
    </row>
    <row r="16">
      <c r="A16" s="5" t="s">
        <v>9</v>
      </c>
      <c r="B16" s="5" t="s">
        <v>61</v>
      </c>
      <c r="C16" s="5" t="s">
        <v>62</v>
      </c>
      <c r="D16" s="5" t="s">
        <v>63</v>
      </c>
      <c r="E16" s="5" t="s">
        <v>64</v>
      </c>
      <c r="F16" s="5">
        <v>0.25</v>
      </c>
      <c r="G16" s="5" t="s">
        <v>14</v>
      </c>
      <c r="H16" s="5" t="s">
        <v>53</v>
      </c>
    </row>
    <row r="17">
      <c r="A17" s="5" t="s">
        <v>9</v>
      </c>
      <c r="B17" s="5" t="s">
        <v>65</v>
      </c>
      <c r="C17" s="5" t="s">
        <v>66</v>
      </c>
      <c r="D17" s="5" t="s">
        <v>67</v>
      </c>
      <c r="E17" s="5" t="s">
        <v>68</v>
      </c>
      <c r="F17" s="5">
        <v>0.25</v>
      </c>
      <c r="G17" s="5" t="s">
        <v>14</v>
      </c>
      <c r="H17" s="5" t="s">
        <v>53</v>
      </c>
    </row>
    <row r="18">
      <c r="A18" s="5" t="s">
        <v>9</v>
      </c>
      <c r="B18" s="5" t="s">
        <v>69</v>
      </c>
      <c r="C18" s="5" t="s">
        <v>70</v>
      </c>
      <c r="D18" s="5" t="s">
        <v>71</v>
      </c>
      <c r="E18" s="5" t="s">
        <v>72</v>
      </c>
      <c r="F18" s="5">
        <v>0.5</v>
      </c>
      <c r="G18" s="5" t="s">
        <v>14</v>
      </c>
      <c r="H18" s="5"/>
    </row>
    <row r="19">
      <c r="A19" s="5" t="s">
        <v>9</v>
      </c>
      <c r="B19" s="5" t="s">
        <v>73</v>
      </c>
      <c r="C19" s="5" t="s">
        <v>74</v>
      </c>
      <c r="D19" s="5" t="s">
        <v>75</v>
      </c>
      <c r="E19" s="5" t="s">
        <v>76</v>
      </c>
      <c r="F19" s="5">
        <v>0.5</v>
      </c>
      <c r="G19" s="5" t="s">
        <v>14</v>
      </c>
      <c r="H19" s="5"/>
    </row>
    <row r="20">
      <c r="A20" s="5" t="s">
        <v>9</v>
      </c>
      <c r="B20" s="5" t="s">
        <v>77</v>
      </c>
      <c r="C20" s="5" t="s">
        <v>78</v>
      </c>
      <c r="D20" s="5" t="s">
        <v>79</v>
      </c>
      <c r="E20" s="5" t="s">
        <v>64</v>
      </c>
      <c r="F20" s="5">
        <v>0.25</v>
      </c>
      <c r="G20" s="5" t="s">
        <v>14</v>
      </c>
      <c r="H20" s="5" t="s">
        <v>53</v>
      </c>
    </row>
    <row r="21">
      <c r="A21" s="5" t="s">
        <v>9</v>
      </c>
      <c r="B21" s="5" t="s">
        <v>80</v>
      </c>
      <c r="C21" s="5" t="s">
        <v>81</v>
      </c>
      <c r="D21" s="5" t="s">
        <v>82</v>
      </c>
      <c r="E21" s="5" t="s">
        <v>83</v>
      </c>
      <c r="F21" s="6">
        <v>0.75</v>
      </c>
      <c r="G21" s="5" t="s">
        <v>14</v>
      </c>
      <c r="H21" s="5"/>
    </row>
    <row r="22">
      <c r="A22" s="5" t="s">
        <v>9</v>
      </c>
      <c r="B22" s="5" t="s">
        <v>84</v>
      </c>
      <c r="C22" s="5" t="s">
        <v>85</v>
      </c>
      <c r="D22" s="5" t="s">
        <v>86</v>
      </c>
      <c r="E22" s="5" t="s">
        <v>30</v>
      </c>
      <c r="F22" s="5">
        <v>2.0</v>
      </c>
      <c r="G22" s="5" t="s">
        <v>14</v>
      </c>
      <c r="H22" s="5" t="s">
        <v>87</v>
      </c>
    </row>
    <row r="23">
      <c r="A23" s="5" t="s">
        <v>9</v>
      </c>
      <c r="B23" s="5" t="s">
        <v>88</v>
      </c>
      <c r="C23" s="5" t="s">
        <v>89</v>
      </c>
      <c r="D23" s="5" t="s">
        <v>90</v>
      </c>
      <c r="E23" s="5" t="s">
        <v>91</v>
      </c>
      <c r="F23" s="5">
        <v>1.0</v>
      </c>
      <c r="G23" s="5" t="s">
        <v>14</v>
      </c>
      <c r="H23" s="5"/>
    </row>
    <row r="24" ht="27.0" customHeight="1">
      <c r="A24" s="7" t="s">
        <v>92</v>
      </c>
      <c r="C24" s="8">
        <f>SUM(F2:F23)</f>
        <v>19.5</v>
      </c>
    </row>
    <row r="25">
      <c r="A25" s="9" t="s">
        <v>93</v>
      </c>
      <c r="B25" s="3"/>
      <c r="C25" s="3"/>
      <c r="D25" s="3"/>
      <c r="E25" s="3"/>
      <c r="F25" s="3"/>
      <c r="G25" s="3"/>
      <c r="H25" s="4"/>
    </row>
    <row r="26">
      <c r="A26" s="5" t="s">
        <v>94</v>
      </c>
      <c r="B26" s="5" t="s">
        <v>95</v>
      </c>
      <c r="C26" s="5" t="s">
        <v>96</v>
      </c>
      <c r="D26" s="5" t="s">
        <v>97</v>
      </c>
      <c r="E26" s="5" t="s">
        <v>98</v>
      </c>
      <c r="F26" s="5">
        <v>1.0</v>
      </c>
      <c r="G26" s="5" t="s">
        <v>99</v>
      </c>
      <c r="H26" s="5"/>
    </row>
    <row r="27">
      <c r="A27" s="5" t="s">
        <v>94</v>
      </c>
      <c r="B27" s="5" t="s">
        <v>100</v>
      </c>
      <c r="C27" s="5" t="s">
        <v>101</v>
      </c>
      <c r="D27" s="5" t="s">
        <v>102</v>
      </c>
      <c r="E27" s="5" t="s">
        <v>52</v>
      </c>
      <c r="F27" s="5">
        <v>0.5</v>
      </c>
      <c r="G27" s="5" t="s">
        <v>99</v>
      </c>
      <c r="H27" s="5"/>
    </row>
    <row r="28">
      <c r="A28" s="5" t="s">
        <v>94</v>
      </c>
      <c r="B28" s="5" t="s">
        <v>103</v>
      </c>
      <c r="C28" s="5" t="s">
        <v>104</v>
      </c>
      <c r="D28" s="5" t="s">
        <v>105</v>
      </c>
      <c r="E28" s="5" t="s">
        <v>106</v>
      </c>
      <c r="F28" s="5">
        <v>0.25</v>
      </c>
      <c r="G28" s="5" t="s">
        <v>99</v>
      </c>
      <c r="H28" s="5"/>
    </row>
    <row r="29">
      <c r="A29" s="5" t="s">
        <v>94</v>
      </c>
      <c r="B29" s="5" t="s">
        <v>107</v>
      </c>
      <c r="C29" s="5" t="s">
        <v>108</v>
      </c>
      <c r="D29" s="5" t="s">
        <v>109</v>
      </c>
      <c r="E29" s="5" t="s">
        <v>44</v>
      </c>
      <c r="F29" s="5">
        <v>1.0</v>
      </c>
      <c r="G29" s="5" t="s">
        <v>99</v>
      </c>
      <c r="H29" s="5"/>
    </row>
    <row r="30">
      <c r="A30" s="5" t="s">
        <v>94</v>
      </c>
      <c r="B30" s="5" t="s">
        <v>110</v>
      </c>
      <c r="C30" s="5" t="s">
        <v>111</v>
      </c>
      <c r="D30" s="5" t="s">
        <v>112</v>
      </c>
      <c r="E30" s="5" t="s">
        <v>113</v>
      </c>
      <c r="F30" s="5">
        <v>1.0</v>
      </c>
      <c r="G30" s="5" t="s">
        <v>99</v>
      </c>
      <c r="H30" s="5"/>
    </row>
    <row r="31">
      <c r="A31" s="5" t="s">
        <v>94</v>
      </c>
      <c r="B31" s="5" t="s">
        <v>114</v>
      </c>
      <c r="C31" s="5" t="s">
        <v>115</v>
      </c>
      <c r="D31" s="5" t="s">
        <v>116</v>
      </c>
      <c r="E31" s="5" t="s">
        <v>117</v>
      </c>
      <c r="F31" s="5">
        <v>0.25</v>
      </c>
      <c r="G31" s="5" t="s">
        <v>99</v>
      </c>
      <c r="H31" s="5"/>
    </row>
    <row r="32">
      <c r="A32" s="5" t="s">
        <v>94</v>
      </c>
      <c r="B32" s="5" t="s">
        <v>118</v>
      </c>
      <c r="C32" s="5" t="s">
        <v>119</v>
      </c>
      <c r="D32" s="5" t="s">
        <v>120</v>
      </c>
      <c r="E32" s="5" t="s">
        <v>121</v>
      </c>
      <c r="F32" s="5">
        <v>0.25</v>
      </c>
      <c r="G32" s="5" t="s">
        <v>99</v>
      </c>
      <c r="H32" s="5" t="s">
        <v>122</v>
      </c>
    </row>
    <row r="33">
      <c r="A33" s="5" t="s">
        <v>94</v>
      </c>
      <c r="B33" s="5" t="s">
        <v>123</v>
      </c>
      <c r="C33" s="5" t="s">
        <v>124</v>
      </c>
      <c r="D33" s="5" t="s">
        <v>125</v>
      </c>
      <c r="E33" s="5" t="s">
        <v>44</v>
      </c>
      <c r="F33" s="5">
        <v>0.5</v>
      </c>
      <c r="G33" s="5" t="s">
        <v>99</v>
      </c>
      <c r="H33" s="5" t="s">
        <v>126</v>
      </c>
    </row>
    <row r="34">
      <c r="A34" s="5" t="s">
        <v>94</v>
      </c>
      <c r="B34" s="5" t="s">
        <v>127</v>
      </c>
      <c r="C34" s="5" t="s">
        <v>128</v>
      </c>
      <c r="D34" s="5" t="s">
        <v>129</v>
      </c>
      <c r="E34" s="5" t="s">
        <v>130</v>
      </c>
      <c r="F34" s="5">
        <v>0.5</v>
      </c>
      <c r="G34" s="5" t="s">
        <v>99</v>
      </c>
      <c r="H34" s="5" t="s">
        <v>126</v>
      </c>
    </row>
    <row r="35">
      <c r="A35" s="5" t="s">
        <v>94</v>
      </c>
      <c r="B35" s="5" t="s">
        <v>131</v>
      </c>
      <c r="C35" s="5" t="s">
        <v>132</v>
      </c>
      <c r="D35" s="5" t="s">
        <v>133</v>
      </c>
      <c r="E35" s="5" t="s">
        <v>134</v>
      </c>
      <c r="F35" s="5">
        <v>0.5</v>
      </c>
      <c r="G35" s="5" t="s">
        <v>99</v>
      </c>
      <c r="H35" s="5"/>
    </row>
    <row r="36">
      <c r="A36" s="5" t="s">
        <v>94</v>
      </c>
      <c r="B36" s="5" t="s">
        <v>135</v>
      </c>
      <c r="C36" s="5" t="s">
        <v>136</v>
      </c>
      <c r="D36" s="5" t="s">
        <v>137</v>
      </c>
      <c r="E36" s="5" t="s">
        <v>138</v>
      </c>
      <c r="F36" s="5">
        <v>1.0</v>
      </c>
      <c r="G36" s="5" t="s">
        <v>99</v>
      </c>
      <c r="H36" s="5"/>
    </row>
    <row r="37" ht="27.0" customHeight="1">
      <c r="A37" s="10" t="s">
        <v>139</v>
      </c>
      <c r="C37" s="11">
        <f>SUM(F26:F36)</f>
        <v>6.75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3" t="s">
        <v>140</v>
      </c>
      <c r="B38" s="3"/>
      <c r="C38" s="3"/>
      <c r="D38" s="3"/>
      <c r="E38" s="3"/>
      <c r="F38" s="3"/>
      <c r="G38" s="3"/>
      <c r="H38" s="4"/>
    </row>
    <row r="39">
      <c r="A39" s="5" t="s">
        <v>141</v>
      </c>
      <c r="B39" s="5" t="s">
        <v>142</v>
      </c>
      <c r="C39" s="5" t="s">
        <v>143</v>
      </c>
      <c r="D39" s="5" t="s">
        <v>144</v>
      </c>
      <c r="E39" s="5" t="s">
        <v>145</v>
      </c>
      <c r="F39" s="5">
        <v>1.0</v>
      </c>
      <c r="G39" s="5" t="s">
        <v>146</v>
      </c>
      <c r="H39" s="5"/>
    </row>
    <row r="40">
      <c r="A40" s="5" t="s">
        <v>141</v>
      </c>
      <c r="B40" s="5" t="s">
        <v>147</v>
      </c>
      <c r="C40" s="5" t="s">
        <v>148</v>
      </c>
      <c r="D40" s="5" t="s">
        <v>149</v>
      </c>
      <c r="E40" s="5" t="s">
        <v>83</v>
      </c>
      <c r="F40" s="5">
        <v>0.5</v>
      </c>
      <c r="G40" s="5" t="s">
        <v>146</v>
      </c>
      <c r="H40" s="5"/>
    </row>
    <row r="41">
      <c r="A41" s="5" t="s">
        <v>141</v>
      </c>
      <c r="B41" s="5" t="s">
        <v>150</v>
      </c>
      <c r="C41" s="6" t="s">
        <v>151</v>
      </c>
      <c r="D41" s="5" t="s">
        <v>152</v>
      </c>
      <c r="E41" s="5" t="s">
        <v>153</v>
      </c>
      <c r="F41" s="5">
        <v>1.0</v>
      </c>
      <c r="G41" s="5" t="s">
        <v>146</v>
      </c>
      <c r="H41" s="5"/>
    </row>
    <row r="42">
      <c r="A42" s="5" t="s">
        <v>141</v>
      </c>
      <c r="B42" s="5" t="s">
        <v>154</v>
      </c>
      <c r="C42" s="5" t="s">
        <v>155</v>
      </c>
      <c r="D42" s="5" t="s">
        <v>156</v>
      </c>
      <c r="E42" s="5" t="s">
        <v>157</v>
      </c>
      <c r="F42" s="5">
        <v>1.0</v>
      </c>
      <c r="G42" s="5" t="s">
        <v>146</v>
      </c>
      <c r="H42" s="5"/>
    </row>
    <row r="43">
      <c r="A43" s="5" t="s">
        <v>141</v>
      </c>
      <c r="B43" s="5" t="s">
        <v>158</v>
      </c>
      <c r="C43" s="5" t="s">
        <v>159</v>
      </c>
      <c r="D43" s="5" t="s">
        <v>160</v>
      </c>
      <c r="E43" s="5" t="s">
        <v>161</v>
      </c>
      <c r="F43" s="5">
        <v>2.0</v>
      </c>
      <c r="G43" s="5" t="s">
        <v>146</v>
      </c>
      <c r="H43" s="5" t="s">
        <v>162</v>
      </c>
    </row>
    <row r="44">
      <c r="A44" s="5" t="s">
        <v>141</v>
      </c>
      <c r="B44" s="5" t="s">
        <v>163</v>
      </c>
      <c r="C44" s="5" t="s">
        <v>164</v>
      </c>
      <c r="D44" s="5" t="s">
        <v>165</v>
      </c>
      <c r="E44" s="5" t="s">
        <v>166</v>
      </c>
      <c r="F44" s="5">
        <v>0.75</v>
      </c>
      <c r="G44" s="5" t="s">
        <v>146</v>
      </c>
      <c r="H44" s="5"/>
    </row>
    <row r="45">
      <c r="A45" s="6" t="s">
        <v>141</v>
      </c>
      <c r="B45" s="6" t="s">
        <v>167</v>
      </c>
      <c r="C45" s="6" t="s">
        <v>168</v>
      </c>
      <c r="D45" s="6" t="s">
        <v>169</v>
      </c>
      <c r="E45" s="6" t="s">
        <v>170</v>
      </c>
      <c r="F45" s="6">
        <v>0.25</v>
      </c>
      <c r="G45" s="5" t="s">
        <v>146</v>
      </c>
      <c r="H45" s="5"/>
    </row>
    <row r="46">
      <c r="A46" s="5" t="s">
        <v>141</v>
      </c>
      <c r="B46" s="5" t="s">
        <v>171</v>
      </c>
      <c r="C46" s="5" t="s">
        <v>172</v>
      </c>
      <c r="D46" s="5" t="s">
        <v>173</v>
      </c>
      <c r="E46" s="5" t="s">
        <v>158</v>
      </c>
      <c r="F46" s="5">
        <v>0.25</v>
      </c>
      <c r="G46" s="5" t="s">
        <v>146</v>
      </c>
      <c r="H46" s="5"/>
    </row>
    <row r="47">
      <c r="A47" s="5" t="s">
        <v>141</v>
      </c>
      <c r="B47" s="5" t="s">
        <v>174</v>
      </c>
      <c r="C47" s="5" t="s">
        <v>175</v>
      </c>
      <c r="D47" s="5" t="s">
        <v>176</v>
      </c>
      <c r="E47" s="5" t="s">
        <v>177</v>
      </c>
      <c r="F47" s="5">
        <v>1.0</v>
      </c>
      <c r="G47" s="5" t="s">
        <v>146</v>
      </c>
      <c r="H47" s="5"/>
    </row>
    <row r="48">
      <c r="A48" s="5" t="s">
        <v>141</v>
      </c>
      <c r="B48" s="5" t="s">
        <v>178</v>
      </c>
      <c r="C48" s="5" t="s">
        <v>179</v>
      </c>
      <c r="D48" s="5" t="s">
        <v>180</v>
      </c>
      <c r="E48" s="5" t="s">
        <v>174</v>
      </c>
      <c r="F48" s="5">
        <v>1.5</v>
      </c>
      <c r="G48" s="5" t="s">
        <v>146</v>
      </c>
      <c r="H48" s="5"/>
    </row>
    <row r="49">
      <c r="A49" s="5" t="s">
        <v>141</v>
      </c>
      <c r="B49" s="5" t="s">
        <v>181</v>
      </c>
      <c r="C49" s="5" t="s">
        <v>182</v>
      </c>
      <c r="D49" s="5" t="s">
        <v>183</v>
      </c>
      <c r="E49" s="5" t="s">
        <v>184</v>
      </c>
      <c r="F49" s="5">
        <v>1.0</v>
      </c>
      <c r="G49" s="5" t="s">
        <v>146</v>
      </c>
      <c r="H49" s="5" t="s">
        <v>185</v>
      </c>
    </row>
    <row r="50">
      <c r="A50" s="5" t="s">
        <v>141</v>
      </c>
      <c r="B50" s="6" t="s">
        <v>186</v>
      </c>
      <c r="C50" s="6" t="s">
        <v>187</v>
      </c>
      <c r="D50" s="6" t="s">
        <v>188</v>
      </c>
      <c r="E50" s="5" t="s">
        <v>189</v>
      </c>
      <c r="F50" s="6">
        <v>0.25</v>
      </c>
      <c r="G50" s="5" t="s">
        <v>146</v>
      </c>
      <c r="H50" s="5" t="s">
        <v>190</v>
      </c>
    </row>
    <row r="51">
      <c r="A51" s="6" t="s">
        <v>141</v>
      </c>
      <c r="B51" s="6" t="s">
        <v>191</v>
      </c>
      <c r="C51" s="6" t="s">
        <v>192</v>
      </c>
      <c r="D51" s="6" t="s">
        <v>193</v>
      </c>
      <c r="E51" s="5" t="s">
        <v>189</v>
      </c>
      <c r="F51" s="6">
        <v>0.5</v>
      </c>
      <c r="G51" s="5" t="s">
        <v>146</v>
      </c>
      <c r="H51" s="5"/>
    </row>
    <row r="52">
      <c r="A52" s="5" t="s">
        <v>141</v>
      </c>
      <c r="B52" s="5" t="s">
        <v>194</v>
      </c>
      <c r="C52" s="5" t="s">
        <v>195</v>
      </c>
      <c r="D52" s="5" t="s">
        <v>196</v>
      </c>
      <c r="E52" s="5" t="s">
        <v>197</v>
      </c>
      <c r="F52" s="5">
        <v>0.5</v>
      </c>
      <c r="G52" s="5" t="s">
        <v>146</v>
      </c>
      <c r="H52" s="5"/>
    </row>
    <row r="53">
      <c r="A53" s="5" t="s">
        <v>141</v>
      </c>
      <c r="B53" s="5" t="s">
        <v>198</v>
      </c>
      <c r="C53" s="5" t="s">
        <v>199</v>
      </c>
      <c r="D53" s="5" t="s">
        <v>200</v>
      </c>
      <c r="E53" s="5" t="s">
        <v>201</v>
      </c>
      <c r="F53" s="6">
        <v>1.5</v>
      </c>
      <c r="G53" s="5" t="s">
        <v>146</v>
      </c>
      <c r="H53" s="5" t="s">
        <v>202</v>
      </c>
    </row>
    <row r="54" ht="27.0" customHeight="1">
      <c r="A54" s="14" t="s">
        <v>203</v>
      </c>
      <c r="C54" s="15">
        <f>SUM(F39:F53)</f>
        <v>13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6" t="s">
        <v>204</v>
      </c>
      <c r="B55" s="3"/>
      <c r="C55" s="3"/>
      <c r="D55" s="3"/>
      <c r="E55" s="3"/>
      <c r="F55" s="3"/>
      <c r="G55" s="3"/>
      <c r="H55" s="4"/>
    </row>
    <row r="56">
      <c r="A56" s="5" t="s">
        <v>205</v>
      </c>
      <c r="B56" s="5" t="s">
        <v>206</v>
      </c>
      <c r="C56" s="5" t="s">
        <v>207</v>
      </c>
      <c r="D56" s="5" t="s">
        <v>208</v>
      </c>
      <c r="E56" s="5" t="s">
        <v>209</v>
      </c>
      <c r="F56" s="5">
        <v>1.0</v>
      </c>
      <c r="G56" s="5" t="s">
        <v>210</v>
      </c>
      <c r="H56" s="5"/>
    </row>
    <row r="57">
      <c r="A57" s="5" t="s">
        <v>205</v>
      </c>
      <c r="B57" s="5" t="s">
        <v>211</v>
      </c>
      <c r="C57" s="5" t="s">
        <v>212</v>
      </c>
      <c r="D57" s="5" t="s">
        <v>213</v>
      </c>
      <c r="E57" s="5" t="s">
        <v>214</v>
      </c>
      <c r="F57" s="5">
        <v>1.5</v>
      </c>
      <c r="G57" s="5" t="s">
        <v>210</v>
      </c>
      <c r="H57" s="5" t="s">
        <v>215</v>
      </c>
    </row>
    <row r="58">
      <c r="A58" s="5" t="s">
        <v>205</v>
      </c>
      <c r="B58" s="5" t="s">
        <v>216</v>
      </c>
      <c r="C58" s="5" t="s">
        <v>217</v>
      </c>
      <c r="D58" s="5" t="s">
        <v>218</v>
      </c>
      <c r="E58" s="5" t="s">
        <v>219</v>
      </c>
      <c r="F58" s="5">
        <v>0.5</v>
      </c>
      <c r="G58" s="5" t="s">
        <v>210</v>
      </c>
      <c r="H58" s="5"/>
    </row>
    <row r="59">
      <c r="A59" s="5" t="s">
        <v>205</v>
      </c>
      <c r="B59" s="5" t="s">
        <v>220</v>
      </c>
      <c r="C59" s="5" t="s">
        <v>221</v>
      </c>
      <c r="D59" s="5" t="s">
        <v>222</v>
      </c>
      <c r="E59" s="5" t="s">
        <v>223</v>
      </c>
      <c r="F59" s="5">
        <v>1.5</v>
      </c>
      <c r="G59" s="5" t="s">
        <v>210</v>
      </c>
      <c r="H59" s="5"/>
    </row>
    <row r="60">
      <c r="A60" s="5" t="s">
        <v>205</v>
      </c>
      <c r="B60" s="5" t="s">
        <v>224</v>
      </c>
      <c r="C60" s="6" t="s">
        <v>225</v>
      </c>
      <c r="D60" s="6" t="s">
        <v>226</v>
      </c>
      <c r="E60" s="5" t="s">
        <v>227</v>
      </c>
      <c r="F60" s="5">
        <v>0.5</v>
      </c>
      <c r="G60" s="5" t="s">
        <v>210</v>
      </c>
      <c r="H60" s="5"/>
    </row>
    <row r="61">
      <c r="A61" s="5" t="s">
        <v>205</v>
      </c>
      <c r="B61" s="5" t="s">
        <v>228</v>
      </c>
      <c r="C61" s="5" t="s">
        <v>229</v>
      </c>
      <c r="D61" s="5" t="s">
        <v>230</v>
      </c>
      <c r="E61" s="5" t="s">
        <v>231</v>
      </c>
      <c r="F61" s="5">
        <v>1.0</v>
      </c>
      <c r="G61" s="5" t="s">
        <v>210</v>
      </c>
      <c r="H61" s="5"/>
    </row>
    <row r="62" ht="27.0" customHeight="1">
      <c r="A62" s="17" t="s">
        <v>232</v>
      </c>
      <c r="C62" s="18">
        <f>SUM(F56:F61)</f>
        <v>6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9" t="s">
        <v>233</v>
      </c>
      <c r="B63" s="3"/>
      <c r="C63" s="3"/>
      <c r="D63" s="3"/>
      <c r="E63" s="3"/>
      <c r="F63" s="3"/>
      <c r="G63" s="3"/>
      <c r="H63" s="4"/>
    </row>
    <row r="64">
      <c r="A64" s="5" t="s">
        <v>234</v>
      </c>
      <c r="B64" s="5" t="s">
        <v>235</v>
      </c>
      <c r="C64" s="5" t="s">
        <v>236</v>
      </c>
      <c r="D64" s="5" t="s">
        <v>208</v>
      </c>
      <c r="E64" s="5" t="s">
        <v>237</v>
      </c>
      <c r="F64" s="5">
        <v>1.0</v>
      </c>
      <c r="G64" s="5" t="s">
        <v>238</v>
      </c>
      <c r="H64" s="5"/>
    </row>
    <row r="65">
      <c r="A65" s="5" t="s">
        <v>234</v>
      </c>
      <c r="B65" s="5" t="s">
        <v>239</v>
      </c>
      <c r="C65" s="5" t="s">
        <v>240</v>
      </c>
      <c r="D65" s="5" t="s">
        <v>241</v>
      </c>
      <c r="E65" s="5" t="s">
        <v>242</v>
      </c>
      <c r="F65" s="5">
        <v>1.0</v>
      </c>
      <c r="G65" s="5" t="s">
        <v>238</v>
      </c>
      <c r="H65" s="5"/>
    </row>
    <row r="66">
      <c r="A66" s="5" t="s">
        <v>234</v>
      </c>
      <c r="B66" s="5" t="s">
        <v>243</v>
      </c>
      <c r="C66" s="5" t="s">
        <v>244</v>
      </c>
      <c r="D66" s="5" t="s">
        <v>245</v>
      </c>
      <c r="E66" s="5" t="s">
        <v>13</v>
      </c>
      <c r="F66" s="6">
        <v>0.75</v>
      </c>
      <c r="G66" s="5" t="s">
        <v>238</v>
      </c>
      <c r="H66" s="5"/>
    </row>
    <row r="67">
      <c r="A67" s="5" t="s">
        <v>234</v>
      </c>
      <c r="B67" s="5" t="s">
        <v>246</v>
      </c>
      <c r="C67" s="5" t="s">
        <v>247</v>
      </c>
      <c r="D67" s="5" t="s">
        <v>248</v>
      </c>
      <c r="E67" s="5" t="s">
        <v>13</v>
      </c>
      <c r="F67" s="5">
        <v>0.5</v>
      </c>
      <c r="G67" s="5" t="s">
        <v>238</v>
      </c>
      <c r="H67" s="5"/>
    </row>
    <row r="68">
      <c r="A68" s="5" t="s">
        <v>234</v>
      </c>
      <c r="B68" s="5" t="s">
        <v>249</v>
      </c>
      <c r="C68" s="5" t="s">
        <v>250</v>
      </c>
      <c r="D68" s="5" t="s">
        <v>251</v>
      </c>
      <c r="E68" s="5" t="s">
        <v>13</v>
      </c>
      <c r="F68" s="5">
        <v>0.25</v>
      </c>
      <c r="G68" s="5" t="s">
        <v>238</v>
      </c>
      <c r="H68" s="5"/>
    </row>
    <row r="69">
      <c r="A69" s="5" t="s">
        <v>234</v>
      </c>
      <c r="B69" s="5" t="s">
        <v>252</v>
      </c>
      <c r="C69" s="5" t="s">
        <v>253</v>
      </c>
      <c r="D69" s="5" t="s">
        <v>254</v>
      </c>
      <c r="E69" s="5" t="s">
        <v>255</v>
      </c>
      <c r="F69" s="6">
        <v>0.25</v>
      </c>
      <c r="G69" s="5" t="s">
        <v>238</v>
      </c>
      <c r="H69" s="5"/>
    </row>
    <row r="70">
      <c r="A70" s="5" t="s">
        <v>234</v>
      </c>
      <c r="B70" s="5" t="s">
        <v>256</v>
      </c>
      <c r="C70" s="5" t="s">
        <v>257</v>
      </c>
      <c r="D70" s="5" t="s">
        <v>258</v>
      </c>
      <c r="E70" s="5" t="s">
        <v>259</v>
      </c>
      <c r="F70" s="5">
        <v>0.75</v>
      </c>
      <c r="G70" s="5" t="s">
        <v>238</v>
      </c>
      <c r="H70" s="5"/>
    </row>
    <row r="71">
      <c r="A71" s="5" t="s">
        <v>234</v>
      </c>
      <c r="B71" s="5" t="s">
        <v>260</v>
      </c>
      <c r="C71" s="5" t="s">
        <v>261</v>
      </c>
      <c r="D71" s="5" t="s">
        <v>262</v>
      </c>
      <c r="E71" s="5" t="s">
        <v>263</v>
      </c>
      <c r="F71" s="5">
        <v>1.0</v>
      </c>
      <c r="G71" s="5" t="s">
        <v>238</v>
      </c>
      <c r="H71" s="5"/>
    </row>
    <row r="72" ht="27.0" customHeight="1">
      <c r="A72" s="20" t="s">
        <v>264</v>
      </c>
      <c r="C72" s="21">
        <f>SUM(F64:F71)</f>
        <v>5.5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22" t="s">
        <v>265</v>
      </c>
      <c r="B73" s="3"/>
      <c r="C73" s="3"/>
      <c r="D73" s="3"/>
      <c r="E73" s="3"/>
      <c r="F73" s="3"/>
      <c r="G73" s="3"/>
      <c r="H73" s="4"/>
    </row>
    <row r="74">
      <c r="A74" s="5" t="s">
        <v>266</v>
      </c>
      <c r="B74" s="5" t="s">
        <v>267</v>
      </c>
      <c r="C74" s="5" t="s">
        <v>268</v>
      </c>
      <c r="D74" s="5" t="s">
        <v>208</v>
      </c>
      <c r="E74" s="5" t="s">
        <v>269</v>
      </c>
      <c r="F74" s="5">
        <v>1.0</v>
      </c>
      <c r="G74" s="5" t="s">
        <v>270</v>
      </c>
      <c r="H74" s="5"/>
    </row>
    <row r="75">
      <c r="A75" s="5" t="s">
        <v>266</v>
      </c>
      <c r="B75" s="5" t="s">
        <v>271</v>
      </c>
      <c r="C75" s="6" t="s">
        <v>272</v>
      </c>
      <c r="D75" s="5" t="s">
        <v>273</v>
      </c>
      <c r="E75" s="5" t="s">
        <v>274</v>
      </c>
      <c r="F75" s="6">
        <v>1.5</v>
      </c>
      <c r="G75" s="5" t="s">
        <v>270</v>
      </c>
      <c r="H75" s="6" t="s">
        <v>275</v>
      </c>
    </row>
    <row r="76">
      <c r="A76" s="5" t="s">
        <v>266</v>
      </c>
      <c r="B76" s="5" t="s">
        <v>276</v>
      </c>
      <c r="C76" s="5" t="s">
        <v>277</v>
      </c>
      <c r="D76" s="5" t="s">
        <v>278</v>
      </c>
      <c r="E76" s="5" t="s">
        <v>255</v>
      </c>
      <c r="F76" s="5">
        <v>0.5</v>
      </c>
      <c r="G76" s="5" t="s">
        <v>270</v>
      </c>
      <c r="H76" s="5"/>
    </row>
    <row r="77">
      <c r="A77" s="5" t="s">
        <v>266</v>
      </c>
      <c r="B77" s="5" t="s">
        <v>279</v>
      </c>
      <c r="C77" s="5" t="s">
        <v>280</v>
      </c>
      <c r="D77" s="5" t="s">
        <v>281</v>
      </c>
      <c r="E77" s="5" t="s">
        <v>130</v>
      </c>
      <c r="F77" s="5">
        <v>0.5</v>
      </c>
      <c r="G77" s="5" t="s">
        <v>270</v>
      </c>
      <c r="H77" s="5"/>
    </row>
    <row r="78">
      <c r="A78" s="5" t="s">
        <v>266</v>
      </c>
      <c r="B78" s="5" t="s">
        <v>282</v>
      </c>
      <c r="C78" s="5" t="s">
        <v>283</v>
      </c>
      <c r="D78" s="5" t="s">
        <v>284</v>
      </c>
      <c r="E78" s="5" t="s">
        <v>285</v>
      </c>
      <c r="F78" s="5">
        <v>0.5</v>
      </c>
      <c r="G78" s="5" t="s">
        <v>270</v>
      </c>
      <c r="H78" s="5"/>
    </row>
    <row r="79" ht="27.0" customHeight="1">
      <c r="A79" s="23" t="s">
        <v>286</v>
      </c>
      <c r="C79" s="24">
        <f>SUM(F74:F78)</f>
        <v>4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25" t="s">
        <v>287</v>
      </c>
      <c r="B80" s="3"/>
      <c r="C80" s="3"/>
      <c r="D80" s="3"/>
      <c r="E80" s="3"/>
      <c r="F80" s="3"/>
      <c r="G80" s="3"/>
      <c r="H80" s="4"/>
    </row>
    <row r="81">
      <c r="A81" s="5" t="s">
        <v>288</v>
      </c>
      <c r="B81" s="5" t="s">
        <v>289</v>
      </c>
      <c r="C81" s="5" t="s">
        <v>290</v>
      </c>
      <c r="D81" s="5" t="s">
        <v>208</v>
      </c>
      <c r="E81" s="5" t="s">
        <v>291</v>
      </c>
      <c r="F81" s="5">
        <v>1.0</v>
      </c>
      <c r="G81" s="5" t="s">
        <v>292</v>
      </c>
      <c r="H81" s="5"/>
    </row>
    <row r="82">
      <c r="A82" s="5" t="s">
        <v>288</v>
      </c>
      <c r="B82" s="5" t="s">
        <v>293</v>
      </c>
      <c r="C82" s="5" t="s">
        <v>294</v>
      </c>
      <c r="D82" s="5" t="s">
        <v>295</v>
      </c>
      <c r="E82" s="5" t="s">
        <v>296</v>
      </c>
      <c r="F82" s="5">
        <v>2.0</v>
      </c>
      <c r="G82" s="5" t="s">
        <v>292</v>
      </c>
      <c r="H82" s="5" t="s">
        <v>297</v>
      </c>
    </row>
    <row r="83">
      <c r="A83" s="5" t="s">
        <v>288</v>
      </c>
      <c r="B83" s="5" t="s">
        <v>298</v>
      </c>
      <c r="C83" s="5" t="s">
        <v>299</v>
      </c>
      <c r="D83" s="5" t="s">
        <v>300</v>
      </c>
      <c r="E83" s="5" t="s">
        <v>301</v>
      </c>
      <c r="F83" s="5">
        <v>1.5</v>
      </c>
      <c r="G83" s="5" t="s">
        <v>292</v>
      </c>
      <c r="H83" s="5" t="s">
        <v>302</v>
      </c>
    </row>
    <row r="84">
      <c r="A84" s="5" t="s">
        <v>288</v>
      </c>
      <c r="B84" s="5" t="s">
        <v>303</v>
      </c>
      <c r="C84" s="5" t="s">
        <v>304</v>
      </c>
      <c r="D84" s="5" t="s">
        <v>305</v>
      </c>
      <c r="E84" s="5" t="s">
        <v>306</v>
      </c>
      <c r="F84" s="5">
        <v>1.0</v>
      </c>
      <c r="G84" s="5" t="s">
        <v>292</v>
      </c>
      <c r="H84" s="5"/>
    </row>
    <row r="85">
      <c r="A85" s="5" t="s">
        <v>288</v>
      </c>
      <c r="B85" s="5" t="s">
        <v>307</v>
      </c>
      <c r="C85" s="5" t="s">
        <v>308</v>
      </c>
      <c r="D85" s="5" t="s">
        <v>309</v>
      </c>
      <c r="E85" s="5" t="s">
        <v>306</v>
      </c>
      <c r="F85" s="5">
        <v>3.0</v>
      </c>
      <c r="G85" s="5" t="s">
        <v>292</v>
      </c>
      <c r="H85" s="5"/>
    </row>
    <row r="86" ht="27.0" customHeight="1">
      <c r="A86" s="26" t="s">
        <v>310</v>
      </c>
      <c r="C86" s="27">
        <f>SUM(F81:F85)</f>
        <v>8.5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ht="15.75" customHeight="1">
      <c r="A87" s="28" t="s">
        <v>311</v>
      </c>
      <c r="B87" s="29"/>
      <c r="C87" s="29"/>
      <c r="D87" s="29"/>
      <c r="E87" s="30"/>
      <c r="F87" s="31">
        <f>SUM(F2:F85)</f>
        <v>63.25</v>
      </c>
      <c r="G87" s="32"/>
      <c r="H87" s="32"/>
    </row>
    <row r="88" ht="15.75" customHeight="1">
      <c r="A88" s="33" t="s">
        <v>312</v>
      </c>
      <c r="B88" s="29"/>
      <c r="C88" s="29"/>
      <c r="D88" s="29"/>
      <c r="E88" s="30"/>
      <c r="F88" s="34">
        <f>ROUND(F87*0.1,2)</f>
        <v>6.33</v>
      </c>
      <c r="G88" s="35"/>
      <c r="H88" s="35"/>
    </row>
    <row r="89" ht="15.75" customHeight="1">
      <c r="A89" s="36" t="s">
        <v>313</v>
      </c>
      <c r="B89" s="29"/>
      <c r="C89" s="29"/>
      <c r="D89" s="29"/>
      <c r="E89" s="30"/>
      <c r="F89" s="37">
        <f>F87+F88</f>
        <v>69.58</v>
      </c>
      <c r="G89" s="38"/>
      <c r="H89" s="38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4">
    <mergeCell ref="C62:H62"/>
    <mergeCell ref="A55:H55"/>
    <mergeCell ref="A63:H63"/>
    <mergeCell ref="C37:H37"/>
    <mergeCell ref="C24:H24"/>
    <mergeCell ref="C54:H54"/>
    <mergeCell ref="C72:H72"/>
    <mergeCell ref="A2:H2"/>
    <mergeCell ref="A25:H25"/>
    <mergeCell ref="A38:H38"/>
    <mergeCell ref="A73:H73"/>
    <mergeCell ref="C79:H79"/>
    <mergeCell ref="A80:H80"/>
    <mergeCell ref="A86:B86"/>
    <mergeCell ref="A87:E87"/>
    <mergeCell ref="A88:E88"/>
    <mergeCell ref="A89:E89"/>
    <mergeCell ref="C86:H86"/>
    <mergeCell ref="A24:B24"/>
    <mergeCell ref="A37:B37"/>
    <mergeCell ref="A54:B54"/>
    <mergeCell ref="A62:B62"/>
    <mergeCell ref="A72:B72"/>
    <mergeCell ref="A79:B7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3" width="10.0"/>
    <col customWidth="1" min="4" max="5" width="12.0"/>
    <col customWidth="1" min="6" max="6" width="14.0"/>
    <col customWidth="1" min="7" max="8" width="40.0"/>
    <col customWidth="1" min="9" max="26" width="8.71"/>
  </cols>
  <sheetData>
    <row r="1">
      <c r="A1" s="1" t="s">
        <v>0</v>
      </c>
      <c r="B1" s="1" t="s">
        <v>314</v>
      </c>
      <c r="C1" s="1" t="s">
        <v>315</v>
      </c>
      <c r="D1" s="1" t="s">
        <v>5</v>
      </c>
      <c r="E1" s="1" t="s">
        <v>316</v>
      </c>
      <c r="F1" s="1" t="s">
        <v>317</v>
      </c>
      <c r="G1" s="1" t="s">
        <v>318</v>
      </c>
      <c r="H1" s="1" t="s">
        <v>319</v>
      </c>
    </row>
    <row r="2" ht="45.0" customHeight="1">
      <c r="A2" s="39" t="s">
        <v>9</v>
      </c>
      <c r="B2" s="5" t="s">
        <v>320</v>
      </c>
      <c r="C2" s="5">
        <f>IFERROR(__xludf.DUMMYFUNCTION("COUNTUNIQUE(Roadmap!B3:B23)"),21.0)</f>
        <v>21</v>
      </c>
      <c r="D2" s="5">
        <f>Roadmap!C24</f>
        <v>19.5</v>
      </c>
      <c r="E2" s="5">
        <v>3.6</v>
      </c>
      <c r="F2" s="5" t="s">
        <v>14</v>
      </c>
      <c r="G2" s="5" t="s">
        <v>321</v>
      </c>
      <c r="H2" s="5" t="s">
        <v>322</v>
      </c>
    </row>
    <row r="3" ht="45.0" customHeight="1">
      <c r="A3" s="40" t="s">
        <v>94</v>
      </c>
      <c r="B3" s="5" t="s">
        <v>323</v>
      </c>
      <c r="C3" s="5">
        <f>IFERROR(__xludf.DUMMYFUNCTION("COUNTUNIQUE(Roadmap!B26:B36)"),11.0)</f>
        <v>11</v>
      </c>
      <c r="D3" s="5">
        <f>Roadmap!C37</f>
        <v>6.75</v>
      </c>
      <c r="E3" s="5">
        <v>1.4</v>
      </c>
      <c r="F3" s="5" t="s">
        <v>99</v>
      </c>
      <c r="G3" s="5" t="s">
        <v>324</v>
      </c>
      <c r="H3" s="5" t="s">
        <v>325</v>
      </c>
    </row>
    <row r="4" ht="45.0" customHeight="1">
      <c r="A4" s="41" t="s">
        <v>141</v>
      </c>
      <c r="B4" s="5" t="s">
        <v>326</v>
      </c>
      <c r="C4" s="5">
        <f>IFERROR(__xludf.DUMMYFUNCTION("COUNTUNIQUE(Roadmap!B39:B53)"),15.0)</f>
        <v>15</v>
      </c>
      <c r="D4" s="5">
        <f>Roadmap!C54</f>
        <v>13</v>
      </c>
      <c r="E4" s="5">
        <v>2.7</v>
      </c>
      <c r="F4" s="5" t="s">
        <v>146</v>
      </c>
      <c r="G4" s="5" t="s">
        <v>327</v>
      </c>
      <c r="H4" s="5" t="s">
        <v>328</v>
      </c>
    </row>
    <row r="5" ht="45.0" customHeight="1">
      <c r="A5" s="42" t="s">
        <v>205</v>
      </c>
      <c r="B5" s="5" t="s">
        <v>329</v>
      </c>
      <c r="C5" s="5">
        <f>IFERROR(__xludf.DUMMYFUNCTION("COUNTUNIQUE(Roadmap!B56:B61)"),6.0)</f>
        <v>6</v>
      </c>
      <c r="D5" s="5">
        <f>Roadmap!C62</f>
        <v>6</v>
      </c>
      <c r="E5" s="5">
        <v>1.2</v>
      </c>
      <c r="F5" s="5" t="s">
        <v>210</v>
      </c>
      <c r="G5" s="5" t="s">
        <v>330</v>
      </c>
      <c r="H5" s="5" t="s">
        <v>331</v>
      </c>
    </row>
    <row r="6" ht="45.0" customHeight="1">
      <c r="A6" s="43" t="s">
        <v>234</v>
      </c>
      <c r="B6" s="5" t="s">
        <v>332</v>
      </c>
      <c r="C6" s="5">
        <f>IFERROR(__xludf.DUMMYFUNCTION("COUNTUNIQUE(Roadmap!B64:B71)"),8.0)</f>
        <v>8</v>
      </c>
      <c r="D6" s="5">
        <f>Roadmap!C72</f>
        <v>5.5</v>
      </c>
      <c r="E6" s="5">
        <v>1.2</v>
      </c>
      <c r="F6" s="5" t="s">
        <v>238</v>
      </c>
      <c r="G6" s="5" t="s">
        <v>333</v>
      </c>
      <c r="H6" s="5" t="s">
        <v>334</v>
      </c>
    </row>
    <row r="7" ht="45.0" customHeight="1">
      <c r="A7" s="44" t="s">
        <v>266</v>
      </c>
      <c r="B7" s="5" t="s">
        <v>335</v>
      </c>
      <c r="C7" s="5">
        <f>IFERROR(__xludf.DUMMYFUNCTION("COUNTUNIQUE(Roadmap!B74:B78)"),5.0)</f>
        <v>5</v>
      </c>
      <c r="D7" s="5">
        <f>Roadmap!C79</f>
        <v>4</v>
      </c>
      <c r="E7" s="5">
        <v>0.7</v>
      </c>
      <c r="F7" s="5" t="s">
        <v>270</v>
      </c>
      <c r="G7" s="5" t="s">
        <v>336</v>
      </c>
      <c r="H7" s="5" t="s">
        <v>337</v>
      </c>
    </row>
    <row r="8" ht="45.0" customHeight="1">
      <c r="A8" s="45" t="s">
        <v>288</v>
      </c>
      <c r="B8" s="5" t="s">
        <v>338</v>
      </c>
      <c r="C8" s="5">
        <f>IFERROR(__xludf.DUMMYFUNCTION("COUNTUNIQUE(Roadmap!B81:B85)"),5.0)</f>
        <v>5</v>
      </c>
      <c r="D8" s="5">
        <f>Roadmap!C86</f>
        <v>8.5</v>
      </c>
      <c r="E8" s="5">
        <v>1.7</v>
      </c>
      <c r="F8" s="5" t="s">
        <v>292</v>
      </c>
      <c r="G8" s="5" t="s">
        <v>339</v>
      </c>
      <c r="H8" s="5" t="s">
        <v>340</v>
      </c>
    </row>
    <row r="9">
      <c r="A9" s="31" t="s">
        <v>341</v>
      </c>
      <c r="B9" s="32"/>
      <c r="C9" s="31">
        <f t="shared" ref="C9:E9" si="1">SUM(C2:C8)</f>
        <v>71</v>
      </c>
      <c r="D9" s="31">
        <f t="shared" si="1"/>
        <v>63.25</v>
      </c>
      <c r="E9" s="31">
        <f t="shared" si="1"/>
        <v>12.5</v>
      </c>
      <c r="F9" s="32"/>
      <c r="G9" s="32"/>
      <c r="H9" s="32"/>
    </row>
    <row r="10">
      <c r="A10" s="34" t="s">
        <v>312</v>
      </c>
      <c r="B10" s="35"/>
      <c r="C10" s="35"/>
      <c r="D10" s="34">
        <f>ROUND(D9*0.1,2)</f>
        <v>6.33</v>
      </c>
      <c r="E10" s="34">
        <f t="shared" ref="E10:E11" si="2">ROUND(D10/5,1)</f>
        <v>1.3</v>
      </c>
      <c r="F10" s="35"/>
      <c r="G10" s="35"/>
      <c r="H10" s="35"/>
    </row>
    <row r="11">
      <c r="A11" s="37" t="s">
        <v>313</v>
      </c>
      <c r="B11" s="38"/>
      <c r="C11" s="38"/>
      <c r="D11" s="37">
        <f>D9+D10</f>
        <v>69.58</v>
      </c>
      <c r="E11" s="37">
        <f t="shared" si="2"/>
        <v>13.9</v>
      </c>
      <c r="F11" s="38"/>
      <c r="G11" s="38"/>
      <c r="H11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55.0"/>
    <col customWidth="1" min="4" max="4" width="10.0"/>
    <col customWidth="1" min="5" max="5" width="30.0"/>
    <col customWidth="1" min="6" max="6" width="25.0"/>
    <col customWidth="1" min="7" max="25" width="8.71"/>
  </cols>
  <sheetData>
    <row r="1">
      <c r="A1" s="1" t="s">
        <v>342</v>
      </c>
      <c r="B1" s="1" t="s">
        <v>314</v>
      </c>
      <c r="C1" s="1" t="s">
        <v>2</v>
      </c>
      <c r="D1" s="1" t="s">
        <v>5</v>
      </c>
      <c r="E1" s="1" t="s">
        <v>343</v>
      </c>
      <c r="F1" s="1" t="s">
        <v>344</v>
      </c>
    </row>
    <row r="2" ht="90.0" customHeight="1">
      <c r="A2" s="5" t="s">
        <v>345</v>
      </c>
      <c r="B2" s="5" t="s">
        <v>346</v>
      </c>
      <c r="C2" s="6" t="s">
        <v>347</v>
      </c>
      <c r="D2" s="6">
        <v>3.0</v>
      </c>
      <c r="E2" s="5" t="s">
        <v>348</v>
      </c>
      <c r="F2" s="5" t="s">
        <v>349</v>
      </c>
    </row>
    <row r="3" ht="90.0" customHeight="1">
      <c r="A3" s="5" t="s">
        <v>345</v>
      </c>
      <c r="B3" s="6" t="s">
        <v>350</v>
      </c>
      <c r="C3" s="6" t="s">
        <v>351</v>
      </c>
      <c r="D3" s="6" t="s">
        <v>352</v>
      </c>
      <c r="E3" s="5" t="s">
        <v>348</v>
      </c>
      <c r="F3" s="5" t="s">
        <v>349</v>
      </c>
    </row>
    <row r="4" ht="90.0" customHeight="1">
      <c r="A4" s="46" t="s">
        <v>353</v>
      </c>
      <c r="B4" s="46" t="s">
        <v>354</v>
      </c>
      <c r="C4" s="46" t="s">
        <v>355</v>
      </c>
      <c r="D4" s="46">
        <v>5.0</v>
      </c>
      <c r="E4" s="46" t="s">
        <v>356</v>
      </c>
      <c r="F4" s="46" t="s">
        <v>349</v>
      </c>
    </row>
    <row r="5">
      <c r="A5" s="47" t="s">
        <v>357</v>
      </c>
      <c r="B5" s="3"/>
      <c r="C5" s="3"/>
      <c r="D5" s="3"/>
      <c r="E5" s="3"/>
      <c r="F5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5:F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5.0"/>
    <col customWidth="1" min="4" max="4" width="45.0"/>
    <col customWidth="1" min="5" max="26" width="8.71"/>
  </cols>
  <sheetData>
    <row r="1">
      <c r="A1" s="1" t="s">
        <v>358</v>
      </c>
      <c r="B1" s="1" t="s">
        <v>359</v>
      </c>
      <c r="C1" s="1" t="s">
        <v>360</v>
      </c>
      <c r="D1" s="1" t="s">
        <v>361</v>
      </c>
    </row>
    <row r="2">
      <c r="A2" s="5" t="s">
        <v>362</v>
      </c>
      <c r="B2" s="5" t="s">
        <v>363</v>
      </c>
      <c r="C2" s="48" t="s">
        <v>364</v>
      </c>
      <c r="D2" s="5"/>
    </row>
    <row r="3">
      <c r="A3" s="5" t="s">
        <v>365</v>
      </c>
      <c r="B3" s="5" t="s">
        <v>366</v>
      </c>
      <c r="C3" s="48" t="s">
        <v>364</v>
      </c>
      <c r="D3" s="5"/>
    </row>
    <row r="4">
      <c r="A4" s="5" t="s">
        <v>367</v>
      </c>
      <c r="B4" s="5" t="s">
        <v>368</v>
      </c>
      <c r="C4" s="48" t="s">
        <v>364</v>
      </c>
      <c r="D4" s="5"/>
    </row>
    <row r="5">
      <c r="A5" s="5" t="s">
        <v>369</v>
      </c>
      <c r="B5" s="5" t="s">
        <v>370</v>
      </c>
      <c r="C5" s="48" t="s">
        <v>364</v>
      </c>
      <c r="D5" s="49" t="s">
        <v>371</v>
      </c>
    </row>
    <row r="6">
      <c r="A6" s="5" t="s">
        <v>372</v>
      </c>
      <c r="B6" s="5" t="s">
        <v>373</v>
      </c>
      <c r="C6" s="50" t="s">
        <v>374</v>
      </c>
      <c r="D6" s="49" t="s">
        <v>375</v>
      </c>
    </row>
    <row r="7">
      <c r="A7" s="5" t="s">
        <v>376</v>
      </c>
      <c r="B7" s="5" t="s">
        <v>377</v>
      </c>
      <c r="C7" s="51" t="s">
        <v>378</v>
      </c>
      <c r="D7" s="5"/>
    </row>
    <row r="8">
      <c r="A8" s="5" t="s">
        <v>379</v>
      </c>
      <c r="B8" s="5" t="s">
        <v>380</v>
      </c>
      <c r="C8" s="51" t="s">
        <v>378</v>
      </c>
      <c r="D8" s="5"/>
    </row>
    <row r="9">
      <c r="A9" s="5" t="s">
        <v>381</v>
      </c>
      <c r="B9" s="5" t="s">
        <v>382</v>
      </c>
      <c r="C9" s="51" t="s">
        <v>378</v>
      </c>
      <c r="D9" s="49" t="s">
        <v>383</v>
      </c>
    </row>
    <row r="10">
      <c r="A10" s="5" t="s">
        <v>384</v>
      </c>
      <c r="B10" s="5" t="s">
        <v>385</v>
      </c>
      <c r="C10" s="52" t="s">
        <v>386</v>
      </c>
      <c r="D10" s="49" t="s">
        <v>387</v>
      </c>
    </row>
    <row r="11">
      <c r="A11" s="5" t="s">
        <v>388</v>
      </c>
      <c r="B11" s="5" t="s">
        <v>389</v>
      </c>
      <c r="C11" s="53" t="s">
        <v>390</v>
      </c>
      <c r="D11" s="5"/>
    </row>
    <row r="12">
      <c r="A12" s="5" t="s">
        <v>391</v>
      </c>
      <c r="B12" s="5" t="s">
        <v>392</v>
      </c>
      <c r="C12" s="53" t="s">
        <v>390</v>
      </c>
      <c r="D12" s="49" t="s">
        <v>393</v>
      </c>
    </row>
    <row r="13">
      <c r="A13" s="5" t="s">
        <v>394</v>
      </c>
      <c r="B13" s="5" t="s">
        <v>395</v>
      </c>
      <c r="C13" s="54" t="s">
        <v>396</v>
      </c>
      <c r="D13" s="5"/>
    </row>
    <row r="14">
      <c r="A14" s="5" t="s">
        <v>397</v>
      </c>
      <c r="B14" s="5" t="s">
        <v>398</v>
      </c>
      <c r="C14" s="54" t="s">
        <v>396</v>
      </c>
      <c r="D14" s="49" t="s">
        <v>399</v>
      </c>
    </row>
    <row r="15">
      <c r="A15" s="5" t="s">
        <v>400</v>
      </c>
      <c r="B15" s="5" t="s">
        <v>401</v>
      </c>
      <c r="C15" s="55" t="s">
        <v>402</v>
      </c>
      <c r="D15" s="49" t="s">
        <v>403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0.0"/>
    <col customWidth="1" min="3" max="3" width="18.0"/>
    <col customWidth="1" min="4" max="4" width="14.0"/>
    <col customWidth="1" min="5" max="5" width="16.0"/>
    <col customWidth="1" min="6" max="6" width="35.0"/>
    <col customWidth="1" min="7" max="26" width="8.71"/>
  </cols>
  <sheetData>
    <row r="1">
      <c r="A1" s="1" t="s">
        <v>404</v>
      </c>
      <c r="B1" s="1" t="s">
        <v>2</v>
      </c>
      <c r="C1" s="1" t="s">
        <v>405</v>
      </c>
      <c r="D1" s="1" t="s">
        <v>6</v>
      </c>
      <c r="E1" s="1" t="s">
        <v>406</v>
      </c>
      <c r="F1" s="1" t="s">
        <v>7</v>
      </c>
    </row>
    <row r="2" ht="49.5" customHeight="1">
      <c r="A2" s="5" t="s">
        <v>407</v>
      </c>
      <c r="B2" s="5" t="s">
        <v>408</v>
      </c>
      <c r="C2" s="5" t="s">
        <v>409</v>
      </c>
      <c r="D2" s="5" t="s">
        <v>14</v>
      </c>
      <c r="E2" s="5" t="s">
        <v>141</v>
      </c>
      <c r="F2" s="5" t="s">
        <v>410</v>
      </c>
    </row>
    <row r="3" ht="49.5" customHeight="1">
      <c r="A3" s="5" t="s">
        <v>411</v>
      </c>
      <c r="B3" s="5" t="s">
        <v>412</v>
      </c>
      <c r="C3" s="5" t="s">
        <v>413</v>
      </c>
      <c r="D3" s="5" t="s">
        <v>14</v>
      </c>
      <c r="E3" s="5" t="s">
        <v>94</v>
      </c>
      <c r="F3" s="5"/>
    </row>
    <row r="4" ht="49.5" customHeight="1">
      <c r="A4" s="5" t="s">
        <v>414</v>
      </c>
      <c r="B4" s="5" t="s">
        <v>415</v>
      </c>
      <c r="C4" s="5" t="s">
        <v>416</v>
      </c>
      <c r="D4" s="5" t="s">
        <v>14</v>
      </c>
      <c r="E4" s="5" t="s">
        <v>141</v>
      </c>
      <c r="F4" s="5" t="s">
        <v>417</v>
      </c>
    </row>
    <row r="5" ht="49.5" customHeight="1">
      <c r="A5" s="5" t="s">
        <v>418</v>
      </c>
      <c r="B5" s="5" t="s">
        <v>419</v>
      </c>
      <c r="C5" s="5" t="s">
        <v>420</v>
      </c>
      <c r="D5" s="5" t="s">
        <v>146</v>
      </c>
      <c r="E5" s="5" t="s">
        <v>205</v>
      </c>
      <c r="F5" s="5" t="s">
        <v>421</v>
      </c>
    </row>
    <row r="6" ht="49.5" customHeight="1">
      <c r="A6" s="5" t="s">
        <v>422</v>
      </c>
      <c r="B6" s="5" t="s">
        <v>423</v>
      </c>
      <c r="C6" s="5" t="s">
        <v>424</v>
      </c>
      <c r="D6" s="5" t="s">
        <v>99</v>
      </c>
      <c r="E6" s="5" t="s">
        <v>141</v>
      </c>
      <c r="F6" s="5"/>
    </row>
    <row r="7" ht="49.5" customHeight="1">
      <c r="A7" s="5" t="s">
        <v>425</v>
      </c>
      <c r="B7" s="5" t="s">
        <v>426</v>
      </c>
      <c r="C7" s="5" t="s">
        <v>427</v>
      </c>
      <c r="D7" s="5" t="s">
        <v>99</v>
      </c>
      <c r="E7" s="5" t="s">
        <v>141</v>
      </c>
      <c r="F7" s="5" t="s">
        <v>428</v>
      </c>
    </row>
    <row r="8" ht="49.5" customHeight="1">
      <c r="A8" s="5" t="s">
        <v>429</v>
      </c>
      <c r="B8" s="5" t="s">
        <v>430</v>
      </c>
      <c r="C8" s="5" t="s">
        <v>431</v>
      </c>
      <c r="D8" s="5" t="s">
        <v>146</v>
      </c>
      <c r="E8" s="5" t="s">
        <v>141</v>
      </c>
      <c r="F8" s="5" t="s">
        <v>432</v>
      </c>
    </row>
    <row r="9" ht="49.5" customHeight="1">
      <c r="A9" s="5" t="s">
        <v>433</v>
      </c>
      <c r="B9" s="5" t="s">
        <v>434</v>
      </c>
      <c r="C9" s="5" t="s">
        <v>435</v>
      </c>
      <c r="D9" s="5" t="s">
        <v>210</v>
      </c>
      <c r="E9" s="5" t="s">
        <v>234</v>
      </c>
      <c r="F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